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nder.cruzb\Desktop\"/>
    </mc:Choice>
  </mc:AlternateContent>
  <xr:revisionPtr revIDLastSave="0" documentId="13_ncr:1_{F8FC7621-1D5E-44C3-9425-1ED5FB827561}" xr6:coauthVersionLast="47" xr6:coauthVersionMax="47" xr10:uidLastSave="{00000000-0000-0000-0000-000000000000}"/>
  <bookViews>
    <workbookView xWindow="-120" yWindow="-120" windowWidth="20730" windowHeight="11160" tabRatio="602" xr2:uid="{00000000-000D-0000-FFFF-FFFF00000000}"/>
  </bookViews>
  <sheets>
    <sheet name="Metodología" sheetId="4" r:id="rId1"/>
    <sheet name="Apoyo" sheetId="5" r:id="rId2"/>
  </sheets>
  <definedNames>
    <definedName name="_xlnm.Print_Area" localSheetId="0">Metodología!$B$1:$U$173</definedName>
    <definedName name="ATC">#REF!</definedName>
    <definedName name="_xlnm.Print_Titles" localSheetId="0">Metodología!$1:$3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5" i="4" l="1"/>
  <c r="F82" i="4"/>
  <c r="F103" i="4"/>
  <c r="F77" i="4"/>
  <c r="B51" i="5" l="1"/>
  <c r="F84" i="4" l="1"/>
  <c r="M142" i="4" l="1"/>
  <c r="I127" i="4" l="1"/>
  <c r="S75" i="4"/>
  <c r="G142" i="4" l="1"/>
  <c r="H116" i="4"/>
  <c r="F114" i="4"/>
  <c r="F112" i="4"/>
  <c r="F110" i="4"/>
  <c r="H109" i="4"/>
  <c r="F107" i="4"/>
  <c r="F100" i="4"/>
  <c r="F98" i="4"/>
  <c r="F96" i="4"/>
  <c r="H95" i="4"/>
  <c r="F93" i="4"/>
  <c r="F91" i="4"/>
  <c r="F89" i="4"/>
  <c r="H88" i="4"/>
  <c r="F86" i="4"/>
  <c r="F79" i="4"/>
  <c r="H8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Analista SGC</author>
    <author>rebecaa</author>
    <author>Maria E</author>
    <author>Maria E. Chacon</author>
    <author>RTC</author>
  </authors>
  <commentList>
    <comment ref="C40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Designar un Líder de Equipo el cual debe ser el dueño del Proceso donde se genera el problema, es el responsable de preparar el documento y seguimiento del mismo, debe tener autoridad para tomar decisiones.
</t>
        </r>
      </text>
    </comment>
    <comment ref="C44" authorId="1" shapeId="0" xr:uid="{00000000-0006-0000-0000-000002000000}">
      <text>
        <r>
          <rPr>
            <sz val="8"/>
            <color indexed="81"/>
            <rFont val="Tahoma"/>
            <family val="2"/>
          </rPr>
          <t>Establecer un equipo, el tamaño recomendado es de 3 en adelante y deben incluirse integrante del proceso con autoridad para la toma de decisiones, puede participar personal de Planeación ó secciones sospechosas de ser los generadores del problema</t>
        </r>
      </text>
    </comment>
    <comment ref="B54" authorId="0" shapeId="0" xr:uid="{00000000-0006-0000-0000-000003000000}">
      <text>
        <r>
          <rPr>
            <sz val="9"/>
            <color indexed="81"/>
            <rFont val="Tahoma"/>
            <family val="2"/>
          </rPr>
          <t>Estas son tomadas por el generador del problema y/o por los procesos que se ven afectados por el problema.
Se debe poner en cada seguimiento el % de avance de cada acción.</t>
        </r>
      </text>
    </comment>
    <comment ref="T56" authorId="2" shapeId="0" xr:uid="{00000000-0006-0000-0000-000004000000}">
      <text>
        <r>
          <rPr>
            <b/>
            <sz val="9"/>
            <color indexed="81"/>
            <rFont val="Tahoma"/>
            <family val="2"/>
          </rPr>
          <t>Maria E:</t>
        </r>
        <r>
          <rPr>
            <sz val="9"/>
            <color indexed="81"/>
            <rFont val="Tahoma"/>
            <family val="2"/>
          </rPr>
          <t xml:space="preserve">
*En ejecucion.
*Cumplido</t>
        </r>
      </text>
    </comment>
    <comment ref="F74" authorId="3" shapeId="0" xr:uid="{00000000-0006-0000-0000-000005000000}">
      <text>
        <r>
          <rPr>
            <sz val="9"/>
            <color indexed="81"/>
            <rFont val="Tahoma"/>
            <family val="2"/>
          </rPr>
          <t xml:space="preserve">
Describa explicitamente la causa, con el evento pun tual que la generó.</t>
        </r>
      </text>
    </comment>
    <comment ref="B118" authorId="3" shapeId="0" xr:uid="{00000000-0006-0000-0000-000006000000}">
      <text>
        <r>
          <rPr>
            <sz val="9"/>
            <color indexed="81"/>
            <rFont val="Tahoma"/>
            <family val="2"/>
          </rPr>
          <t xml:space="preserve">Describa en detalle el PDA a tomar, con las acciones puntules que se llevan a cabo
</t>
        </r>
      </text>
    </comment>
    <comment ref="T119" authorId="2" shapeId="0" xr:uid="{00000000-0006-0000-0000-000007000000}">
      <text>
        <r>
          <rPr>
            <b/>
            <sz val="9"/>
            <color indexed="81"/>
            <rFont val="Tahoma"/>
            <family val="2"/>
          </rPr>
          <t>Maria E:</t>
        </r>
        <r>
          <rPr>
            <sz val="9"/>
            <color indexed="81"/>
            <rFont val="Tahoma"/>
            <family val="2"/>
          </rPr>
          <t xml:space="preserve">
*En ejecucion.
*Cumplido</t>
        </r>
      </text>
    </comment>
    <comment ref="B128" authorId="3" shapeId="0" xr:uid="{00000000-0006-0000-0000-000008000000}">
      <text>
        <r>
          <rPr>
            <sz val="8"/>
            <color indexed="81"/>
            <rFont val="Tahoma"/>
            <family val="2"/>
          </rPr>
          <t>-Evaluar la inclusión de los planes de acción del problema en cuestión, como prevención en otros procesos, donde el problema no se ha presentado
-Participa integrante del SGC y proceso responsable de la solución; el SGC realiza el seguimeinto con el nuevo proceso.</t>
        </r>
      </text>
    </comment>
    <comment ref="C157" authorId="4" shapeId="0" xr:uid="{00000000-0006-0000-0000-000009000000}">
      <text>
        <r>
          <rPr>
            <b/>
            <sz val="8"/>
            <color indexed="81"/>
            <rFont val="Tahoma"/>
            <family val="2"/>
          </rPr>
          <t>Colocar la fuente de donde se sacó la información para determinar la efectividad.</t>
        </r>
      </text>
    </comment>
    <comment ref="C164" authorId="2" shapeId="0" xr:uid="{00000000-0006-0000-0000-00000A000000}">
      <text>
        <r>
          <rPr>
            <sz val="9"/>
            <color indexed="81"/>
            <rFont val="Tahoma"/>
            <family val="2"/>
          </rPr>
          <t xml:space="preserve">Dueño de proceso
</t>
        </r>
      </text>
    </comment>
    <comment ref="C166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>Maria E:</t>
        </r>
        <r>
          <rPr>
            <sz val="9"/>
            <color indexed="81"/>
            <rFont val="Tahoma"/>
            <family val="2"/>
          </rPr>
          <t xml:space="preserve">
Realizado por Planeación</t>
        </r>
      </text>
    </comment>
  </commentList>
</comments>
</file>

<file path=xl/sharedStrings.xml><?xml version="1.0" encoding="utf-8"?>
<sst xmlns="http://schemas.openxmlformats.org/spreadsheetml/2006/main" count="211" uniqueCount="174">
  <si>
    <t>SI</t>
  </si>
  <si>
    <t>NO</t>
  </si>
  <si>
    <t>Fecha:</t>
  </si>
  <si>
    <t>Responsable:</t>
  </si>
  <si>
    <t>CAUSA</t>
  </si>
  <si>
    <t>EFECTO</t>
  </si>
  <si>
    <t>CARGO</t>
  </si>
  <si>
    <t>PERIODO EVALUADO</t>
  </si>
  <si>
    <t>AL</t>
  </si>
  <si>
    <t>TOTAL EVALUADO</t>
  </si>
  <si>
    <t>1.</t>
  </si>
  <si>
    <t>2.</t>
  </si>
  <si>
    <t>3.</t>
  </si>
  <si>
    <t>4.</t>
  </si>
  <si>
    <t>5.</t>
  </si>
  <si>
    <t>AREA</t>
  </si>
  <si>
    <t>6.</t>
  </si>
  <si>
    <t>ANÁLISIS DE DATOS BASADO EN</t>
  </si>
  <si>
    <t>RESPONSABLE</t>
  </si>
  <si>
    <t>PLANES DE ACCION</t>
  </si>
  <si>
    <t>CONCEPTO DE CIERRE:</t>
  </si>
  <si>
    <t>1- Fue entendido el problema y es claro?</t>
  </si>
  <si>
    <t>2- Fue a sitio, observó, entrevistó?</t>
  </si>
  <si>
    <t>3- Se revisaron los datos existentes sobre el problema?</t>
  </si>
  <si>
    <t>4- Al evaluar la recopilación de información (1,2,3) considera suficiente para entablar juicio de las posibles causas?</t>
  </si>
  <si>
    <t>ANALISIS DE CAUSA RAÍZ</t>
  </si>
  <si>
    <t>C. Raíz:</t>
  </si>
  <si>
    <t>RAÍZ?</t>
  </si>
  <si>
    <t>Es el Medio Ambiente o Entorno el generador del problema?</t>
  </si>
  <si>
    <t>Es el Método el generador del problema?</t>
  </si>
  <si>
    <t>FACTORES</t>
  </si>
  <si>
    <t>REQUISITO:</t>
  </si>
  <si>
    <t>INCUMPLIMIENTO PRESENTADO (HALLAZGO):</t>
  </si>
  <si>
    <t>EVIDENCIA OBJETIVA:</t>
  </si>
  <si>
    <t>Líder del Equipo:</t>
  </si>
  <si>
    <t>Miembros del Equipo:</t>
  </si>
  <si>
    <t>QUE</t>
  </si>
  <si>
    <t>4er PASO: DEFINICIÓN DE LA RAÍZ DEL PROBLEMA</t>
  </si>
  <si>
    <t>5to PASO: SOLUCIÓN DEFINITIVA - IMPLEMENTACIÓN</t>
  </si>
  <si>
    <t>CUMPLIMIENTO</t>
  </si>
  <si>
    <t>8vo FELICITACION DEL EQUIPO</t>
  </si>
  <si>
    <t>3do PASO: ACCIÓN CORRECTIVA INMEDIATA
(Acción a seguir mientras se encuentra la causa para que el defecto no llegue al cliente y/o correciones al problema)</t>
  </si>
  <si>
    <t>Fecha de Corte:</t>
  </si>
  <si>
    <t>Serial de Corte:</t>
  </si>
  <si>
    <t>Electrohuila</t>
  </si>
  <si>
    <t>Acción correctiva</t>
  </si>
  <si>
    <t>Acción Preventiva</t>
  </si>
  <si>
    <t>Acción de mejora continua</t>
  </si>
  <si>
    <t>Sugerencias Consultores</t>
  </si>
  <si>
    <t>Correctiva</t>
  </si>
  <si>
    <t>Preventiva</t>
  </si>
  <si>
    <t>Mejora</t>
  </si>
  <si>
    <t>Corrección</t>
  </si>
  <si>
    <t>Corrección y Correctiva</t>
  </si>
  <si>
    <t>Clientes externos</t>
  </si>
  <si>
    <t>Procesos</t>
  </si>
  <si>
    <t>Revisión por la dirección</t>
  </si>
  <si>
    <t>Auditoría de control interno</t>
  </si>
  <si>
    <t>Producto no conforme</t>
  </si>
  <si>
    <t>Auditoría contraloría</t>
  </si>
  <si>
    <t>Riesgo</t>
  </si>
  <si>
    <t>3-Se sugiere en acción solicitada:</t>
  </si>
  <si>
    <t>Revisión por la dirección: Proceso de Planeación</t>
  </si>
  <si>
    <t>Auditoría de control interno: Proceso de control interno</t>
  </si>
  <si>
    <t>Auditoría Interna de Calidad: Proceso de Planeación</t>
  </si>
  <si>
    <t>Auditoría contraloría: Proceso de control interno</t>
  </si>
  <si>
    <t>Procesos: Casos de análisis de datos que lo ameriten, por los procesos</t>
  </si>
  <si>
    <t>Método</t>
  </si>
  <si>
    <t>Persona</t>
  </si>
  <si>
    <t>Infraestructura</t>
  </si>
  <si>
    <t>Medio Ambiente</t>
  </si>
  <si>
    <t>Información</t>
  </si>
  <si>
    <t>Recursos</t>
  </si>
  <si>
    <t>Es el personal el  generador del problema?</t>
  </si>
  <si>
    <t>Es la Infraestructura ( máquina, SW o Herramienta) el generador del problema?</t>
  </si>
  <si>
    <t>Son los Recursos (materiales, Insumos) Entrante los generadores del problema?</t>
  </si>
  <si>
    <t>Es la información  la generadora del problema?</t>
  </si>
  <si>
    <t>Indicador</t>
  </si>
  <si>
    <t>Evento</t>
  </si>
  <si>
    <t>Tiempo</t>
  </si>
  <si>
    <t>Cuál?</t>
  </si>
  <si>
    <t>Cual?</t>
  </si>
  <si>
    <t>Cuanto?</t>
  </si>
  <si>
    <t>De</t>
  </si>
  <si>
    <t>Hasta</t>
  </si>
  <si>
    <t>CAUSA RAIZ</t>
  </si>
  <si>
    <t>ACC</t>
  </si>
  <si>
    <t>FECHA FINAL</t>
  </si>
  <si>
    <t>FECHA INICIO</t>
  </si>
  <si>
    <t>PLAZO SEMANA</t>
  </si>
  <si>
    <t>SEGUIMIENTO</t>
  </si>
  <si>
    <t>% AVANCE</t>
  </si>
  <si>
    <t>Objetivo</t>
  </si>
  <si>
    <t>FECHA DE EVALUACION</t>
  </si>
  <si>
    <t xml:space="preserve">Objetivo </t>
  </si>
  <si>
    <t>ACTIVIDADES DE ESTANDARIZACION</t>
  </si>
  <si>
    <t>ACTIVIDADES DE COMUNICACIÓN</t>
  </si>
  <si>
    <t>AVANCE</t>
  </si>
  <si>
    <t>LAS MODIFICACIONES IMPLEMENTADAS SOLUCIONAN  EL PROBLEMA Y CUMPLEN LA EXPECTATIVAS(CIERRE)</t>
  </si>
  <si>
    <t>%AVANCE</t>
  </si>
  <si>
    <t>7to PASO: CONFIRMACIÓN DE LA ELIMINACIÓN DEL PROBLEMA (EFICACIA)</t>
  </si>
  <si>
    <t>CORRECCIONES</t>
  </si>
  <si>
    <t>5-1er PASO: DEFINICIÓN DEL PROBLEMA O NO CONFORMIDAD</t>
  </si>
  <si>
    <t>Tiene el hallazgo, pero no se registran las evidencias</t>
  </si>
  <si>
    <t>2do  PASO EQUIPO DE TRABAJO</t>
  </si>
  <si>
    <t>6-2do  PASO EQUIPO DE TRABAJO</t>
  </si>
  <si>
    <t>Se tiene incluido un lider al arranque del formato</t>
  </si>
  <si>
    <t>Dejar espacio para lider y equipo</t>
  </si>
  <si>
    <t>Dejar hallazgo y registrar las evidencias, adjuntar anexos si sirven para tener el contexto del problem</t>
  </si>
  <si>
    <t xml:space="preserve">2-Nombre del formato: </t>
  </si>
  <si>
    <t>Solicitud  acciones correctivas, preventivas ó de mejora</t>
  </si>
  <si>
    <t>2- Nombre del formato</t>
  </si>
  <si>
    <t>1-Botones del aplicativo</t>
  </si>
  <si>
    <t>1-Botonos del aplicativo</t>
  </si>
  <si>
    <t>Se tienen 3 botones para el proceso de acciones correctivas, Solicitud, seguimiento y cerrar la acción</t>
  </si>
  <si>
    <t xml:space="preserve"> Revisar si se puede dejar todo el proceso en uno solo</t>
  </si>
  <si>
    <t>3- En acción solicitada tienen:</t>
  </si>
  <si>
    <r>
      <t xml:space="preserve">4- </t>
    </r>
    <r>
      <rPr>
        <b/>
        <sz val="10"/>
        <rFont val="Arial"/>
        <family val="2"/>
      </rPr>
      <t>En como se detecta? Tienen</t>
    </r>
  </si>
  <si>
    <t>5- Diagrama causa efecto tienen</t>
  </si>
  <si>
    <t>5-Diagrama causa efecto tienen</t>
  </si>
  <si>
    <r>
      <t xml:space="preserve">4- </t>
    </r>
    <r>
      <rPr>
        <b/>
        <sz val="10"/>
        <rFont val="Arial"/>
        <family val="2"/>
      </rPr>
      <t>En como se detecta? Se sugiere</t>
    </r>
  </si>
  <si>
    <t>Ingresar  el hallazgo y la evidencias  por los procesos que tienen contacto directo con el tema, para eliminar los tiempos muertos entre el informe y el ingreso a al SW( revisar costo/beneficio) es una acción operativa de digitación y  los asignados podrian manejarse  así:</t>
  </si>
  <si>
    <t>7-3do PASO: ACCIÓN CORRECTIVA INMEDIATA</t>
  </si>
  <si>
    <t>8-   4er PASO: DEFINICIÓN DE LA RAÍZ DEL PROBLEMA</t>
  </si>
  <si>
    <t>8-  4er PASO: DEFINICIÓN DE LA RAÍZ DEL PROBLEMA</t>
  </si>
  <si>
    <t>Tienen definido los factores</t>
  </si>
  <si>
    <t>Se define un espación para la corrección, responsable , fechas y seguimiento</t>
  </si>
  <si>
    <t>Se propone dejar los factores nombrados en numeral 5, e incluir los 5 porques en cada factor</t>
  </si>
  <si>
    <t>6to PASO: MECANISMOS DE ESTANDARIZACION Y COMUNICACIÓN</t>
  </si>
  <si>
    <t>9- 5to PASO: SOLUCIÓN DEFINITIVA - IMPLEMENTACIÓN</t>
  </si>
  <si>
    <t>Tienen una estructura conectada a causa raiz</t>
  </si>
  <si>
    <t>Se mantiene la misma estructura de Electrohuila</t>
  </si>
  <si>
    <t>10-6to PASO: MECANISMOS DE ESTANDARIZACION Y COMUNICACIÓN</t>
  </si>
  <si>
    <t>No se tiene definido en la estructura</t>
  </si>
  <si>
    <t>* Se define un espacio para establecer como se estandariza y comunican la implementación de  las acciones</t>
  </si>
  <si>
    <t>* Se establece la forma de medir la eficacia de las acciones</t>
  </si>
  <si>
    <t>Tienen un mecanismo donde el dueño de proceso envía un correo a planeación solicitando el cierre e indicando que las acciones fueron eficaces, el profesional de calidad, hace un seguimiento sobre eficacia y cierra la acción</t>
  </si>
  <si>
    <t>Se deja un espacio para que con hechos y datos se confirme la eficacia, de acuerdo a lo definido en el numeral 10, etapa 6ta.</t>
  </si>
  <si>
    <t>11- 7mo PASO CONFIRMACIÓN DE LA ELIMINACIÓN DEL PROBLEMA (EFICACIA)</t>
  </si>
  <si>
    <t>12-8vo FELICITACION DEL EQUIPO</t>
  </si>
  <si>
    <t>No se tiene un espacio para este item</t>
  </si>
  <si>
    <t>Se sugiere tener el espacio y trabajarlo con talento humano, usar comunicados, con copia a Jefe y subgerente según el caso.</t>
  </si>
  <si>
    <t>Supervisión-Control( Se suguere eliminar)</t>
  </si>
  <si>
    <t>Administrativo( se sugiere eliminar)</t>
  </si>
  <si>
    <t>Se sugiere el nombre de "Médodo de solución de problemas" ó "Acciones de mejora"</t>
  </si>
  <si>
    <t>SISTEMA PARA MEDIR LA EFICACIA DE LAS ACCIONES</t>
  </si>
  <si>
    <t>Observaciones</t>
  </si>
  <si>
    <t>1er PASO: DEFINICIÓN DEL PROBLEMA O NO CONFORMIDAD O MEJORA</t>
  </si>
  <si>
    <t>CIERRE</t>
  </si>
  <si>
    <t>Clientes externos: Procesos que manejan al cliente y merece Acción correctiva</t>
  </si>
  <si>
    <t>Auditoría Interna de Calidad y de ente certificador</t>
  </si>
  <si>
    <t>Cliente interno: Ingresa el proceso generador del problema</t>
  </si>
  <si>
    <t>Persona(Compentencia, actitud)</t>
  </si>
  <si>
    <t>Recursos(Insumos, materiales, personal, financieros )</t>
  </si>
  <si>
    <t>Infraestructura( físicas, tecnologicas, sw, máquinas)</t>
  </si>
  <si>
    <t>Medio Ambiente( entornos, variables de luz, temperatura, clima laboral)</t>
  </si>
  <si>
    <t>Información(erronea, sin informacion, incompleta)</t>
  </si>
  <si>
    <t>Si tienen un espacio para definir correcciones, pequeño, y la primera PDA es de corección</t>
  </si>
  <si>
    <t>Eliminarlo del primer pantallazo</t>
  </si>
  <si>
    <t>Anexo.</t>
  </si>
  <si>
    <t>Si la respuesta de las 4 siguientes preguntas es SI, REALICE EL ANÁLISIS DE CAUSA RAÍZ, de lo contrario no podrá continuar con el análisis de causa raíz</t>
  </si>
  <si>
    <t>TOTAL CONFORMES</t>
  </si>
  <si>
    <t>TOTAL NO CONFORMES</t>
  </si>
  <si>
    <t>Fecha de detección</t>
  </si>
  <si>
    <t>Quien detecta</t>
  </si>
  <si>
    <t>Proceso en que se detecta</t>
  </si>
  <si>
    <t>Donde se detecta</t>
  </si>
  <si>
    <t>Cómo se detecta</t>
  </si>
  <si>
    <t xml:space="preserve">DATOS BÁSICOS </t>
  </si>
  <si>
    <t>Requisito</t>
  </si>
  <si>
    <t>Acción solicitada</t>
  </si>
  <si>
    <t>Código Hallazgo</t>
  </si>
  <si>
    <t>N/A</t>
  </si>
  <si>
    <t>METODO DE SOLUCION DE PROBLEMAS (CAUSA RAIZ)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</si>
</sst>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m/yyyy"/>
    <numFmt numFmtId="165" formatCode="0.0%"/>
    <numFmt numFmtId="166" formatCode="dd/mmm/yyyy;@"/>
  </numFmts>
  <fonts count="1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0"/>
      <color theme="3" tint="0.39997558519241921"/>
      <name val="Arial"/>
      <family val="2"/>
    </font>
    <font>
      <b/>
      <sz val="10"/>
      <color rgb="FFFF0000"/>
      <name val="Arial"/>
      <family val="2"/>
    </font>
    <font>
      <b/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5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1" fillId="0" borderId="0">
      <alignment vertical="top"/>
    </xf>
  </cellStyleXfs>
  <cellXfs count="319">
    <xf numFmtId="0" fontId="0" fillId="0" borderId="0" xfId="0" applyAlignment="1"/>
    <xf numFmtId="0" fontId="7" fillId="0" borderId="0" xfId="0" applyFont="1" applyFill="1" applyAlignment="1" applyProtection="1"/>
    <xf numFmtId="0" fontId="7" fillId="0" borderId="3" xfId="0" applyFont="1" applyFill="1" applyBorder="1" applyAlignment="1" applyProtection="1"/>
    <xf numFmtId="0" fontId="7" fillId="0" borderId="1" xfId="0" applyFont="1" applyFill="1" applyBorder="1" applyAlignment="1" applyProtection="1"/>
    <xf numFmtId="0" fontId="7" fillId="0" borderId="4" xfId="0" applyFont="1" applyFill="1" applyBorder="1" applyAlignment="1" applyProtection="1"/>
    <xf numFmtId="0" fontId="7" fillId="0" borderId="5" xfId="0" applyFont="1" applyFill="1" applyBorder="1" applyAlignment="1" applyProtection="1">
      <alignment vertical="center"/>
    </xf>
    <xf numFmtId="0" fontId="7" fillId="0" borderId="6" xfId="0" applyFont="1" applyFill="1" applyBorder="1" applyAlignment="1" applyProtection="1">
      <alignment vertical="center"/>
    </xf>
    <xf numFmtId="49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9" fillId="0" borderId="10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/>
    <xf numFmtId="0" fontId="7" fillId="0" borderId="9" xfId="0" applyFont="1" applyFill="1" applyBorder="1" applyAlignment="1" applyProtection="1">
      <alignment vertical="center"/>
    </xf>
    <xf numFmtId="0" fontId="8" fillId="0" borderId="8" xfId="0" applyFont="1" applyFill="1" applyBorder="1" applyAlignment="1" applyProtection="1">
      <alignment vertical="center"/>
    </xf>
    <xf numFmtId="0" fontId="8" fillId="0" borderId="2" xfId="0" applyFont="1" applyFill="1" applyBorder="1" applyAlignment="1" applyProtection="1">
      <alignment vertical="center" wrapText="1"/>
    </xf>
    <xf numFmtId="0" fontId="7" fillId="0" borderId="10" xfId="0" applyFont="1" applyFill="1" applyBorder="1" applyAlignment="1" applyProtection="1">
      <alignment horizontal="center" vertical="center" wrapText="1"/>
      <protection locked="0"/>
    </xf>
    <xf numFmtId="49" fontId="8" fillId="0" borderId="8" xfId="0" applyNumberFormat="1" applyFont="1" applyFill="1" applyBorder="1" applyAlignment="1" applyProtection="1">
      <alignment vertical="center"/>
    </xf>
    <xf numFmtId="0" fontId="7" fillId="0" borderId="1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/>
    <xf numFmtId="0" fontId="12" fillId="0" borderId="0" xfId="0" applyFont="1" applyFill="1" applyBorder="1" applyAlignment="1" applyProtection="1">
      <alignment horizontal="justify" vertical="center"/>
    </xf>
    <xf numFmtId="0" fontId="10" fillId="0" borderId="0" xfId="0" applyFont="1" applyFill="1" applyBorder="1" applyAlignment="1" applyProtection="1">
      <alignment vertical="center" wrapText="1"/>
    </xf>
    <xf numFmtId="0" fontId="8" fillId="0" borderId="0" xfId="0" applyFont="1" applyBorder="1" applyAlignment="1" applyProtection="1">
      <alignment vertical="center"/>
    </xf>
    <xf numFmtId="0" fontId="7" fillId="0" borderId="2" xfId="0" applyFont="1" applyBorder="1" applyAlignment="1" applyProtection="1">
      <alignment horizontal="left" vertical="center"/>
    </xf>
    <xf numFmtId="0" fontId="8" fillId="0" borderId="3" xfId="0" applyFont="1" applyFill="1" applyBorder="1" applyAlignment="1" applyProtection="1">
      <alignment horizontal="center"/>
    </xf>
    <xf numFmtId="0" fontId="8" fillId="0" borderId="1" xfId="0" applyFont="1" applyFill="1" applyBorder="1" applyAlignment="1" applyProtection="1">
      <alignment horizontal="center"/>
    </xf>
    <xf numFmtId="0" fontId="8" fillId="0" borderId="4" xfId="0" applyFont="1" applyFill="1" applyBorder="1" applyAlignment="1" applyProtection="1">
      <alignment horizontal="center"/>
    </xf>
    <xf numFmtId="0" fontId="7" fillId="0" borderId="2" xfId="0" applyFont="1" applyFill="1" applyBorder="1" applyAlignment="1" applyProtection="1"/>
    <xf numFmtId="0" fontId="8" fillId="0" borderId="2" xfId="0" applyFont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/>
    <xf numFmtId="0" fontId="7" fillId="0" borderId="5" xfId="0" applyFont="1" applyFill="1" applyBorder="1" applyAlignment="1" applyProtection="1"/>
    <xf numFmtId="0" fontId="7" fillId="0" borderId="6" xfId="0" applyFont="1" applyFill="1" applyBorder="1" applyAlignment="1" applyProtection="1"/>
    <xf numFmtId="0" fontId="7" fillId="0" borderId="8" xfId="0" applyFont="1" applyFill="1" applyBorder="1" applyAlignment="1" applyProtection="1"/>
    <xf numFmtId="0" fontId="7" fillId="0" borderId="9" xfId="0" applyFont="1" applyFill="1" applyBorder="1" applyAlignment="1" applyProtection="1"/>
    <xf numFmtId="0" fontId="7" fillId="0" borderId="0" xfId="0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vertical="top" wrapText="1"/>
    </xf>
    <xf numFmtId="0" fontId="7" fillId="0" borderId="0" xfId="0" applyFont="1" applyAlignment="1" applyProtection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15" xfId="0" applyFont="1" applyFill="1" applyBorder="1" applyAlignment="1" applyProtection="1"/>
    <xf numFmtId="0" fontId="7" fillId="0" borderId="12" xfId="0" applyFont="1" applyFill="1" applyBorder="1" applyAlignment="1" applyProtection="1"/>
    <xf numFmtId="0" fontId="7" fillId="0" borderId="8" xfId="0" applyFont="1" applyFill="1" applyBorder="1" applyAlignment="1" applyProtection="1">
      <alignment vertical="center"/>
    </xf>
    <xf numFmtId="0" fontId="7" fillId="0" borderId="4" xfId="0" applyFont="1" applyFill="1" applyBorder="1" applyAlignment="1" applyProtection="1">
      <alignment vertical="center"/>
    </xf>
    <xf numFmtId="0" fontId="7" fillId="0" borderId="5" xfId="0" applyFont="1" applyFill="1" applyBorder="1" applyAlignment="1" applyProtection="1">
      <alignment horizontal="center" vertical="center"/>
    </xf>
    <xf numFmtId="0" fontId="7" fillId="0" borderId="8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right"/>
    </xf>
    <xf numFmtId="14" fontId="7" fillId="0" borderId="0" xfId="0" applyNumberFormat="1" applyFont="1" applyFill="1" applyBorder="1" applyAlignment="1" applyProtection="1">
      <alignment horizontal="center"/>
    </xf>
    <xf numFmtId="0" fontId="14" fillId="0" borderId="2" xfId="0" applyFont="1" applyFill="1" applyBorder="1" applyAlignment="1" applyProtection="1">
      <alignment vertical="center" wrapText="1"/>
    </xf>
    <xf numFmtId="0" fontId="7" fillId="0" borderId="3" xfId="0" applyFont="1" applyFill="1" applyBorder="1" applyAlignment="1" applyProtection="1">
      <alignment vertical="center"/>
    </xf>
    <xf numFmtId="0" fontId="8" fillId="0" borderId="1" xfId="0" applyFont="1" applyFill="1" applyBorder="1" applyAlignment="1" applyProtection="1">
      <alignment vertical="center"/>
    </xf>
    <xf numFmtId="0" fontId="7" fillId="0" borderId="1" xfId="0" applyFont="1" applyFill="1" applyBorder="1" applyAlignment="1" applyProtection="1">
      <alignment vertical="center"/>
    </xf>
    <xf numFmtId="17" fontId="7" fillId="0" borderId="0" xfId="0" applyNumberFormat="1" applyFont="1" applyFill="1" applyBorder="1" applyAlignment="1" applyProtection="1">
      <alignment vertical="center"/>
    </xf>
    <xf numFmtId="0" fontId="7" fillId="0" borderId="7" xfId="0" applyFont="1" applyFill="1" applyBorder="1" applyAlignment="1" applyProtection="1">
      <alignment vertical="center"/>
    </xf>
    <xf numFmtId="15" fontId="7" fillId="0" borderId="2" xfId="0" quotePrefix="1" applyNumberFormat="1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vertical="center"/>
    </xf>
    <xf numFmtId="15" fontId="7" fillId="0" borderId="11" xfId="0" quotePrefix="1" applyNumberFormat="1" applyFont="1" applyFill="1" applyBorder="1" applyAlignment="1" applyProtection="1">
      <alignment horizontal="center" vertical="center"/>
    </xf>
    <xf numFmtId="0" fontId="7" fillId="0" borderId="12" xfId="0" applyFont="1" applyFill="1" applyBorder="1" applyAlignment="1" applyProtection="1">
      <alignment vertical="center"/>
    </xf>
    <xf numFmtId="0" fontId="7" fillId="0" borderId="0" xfId="0" applyFont="1" applyBorder="1" applyAlignment="1" applyProtection="1"/>
    <xf numFmtId="0" fontId="8" fillId="0" borderId="3" xfId="0" applyFont="1" applyFill="1" applyBorder="1" applyAlignment="1" applyProtection="1">
      <alignment vertical="center"/>
    </xf>
    <xf numFmtId="0" fontId="8" fillId="0" borderId="5" xfId="0" applyFont="1" applyFill="1" applyBorder="1" applyAlignment="1" applyProtection="1">
      <alignment vertical="center"/>
    </xf>
    <xf numFmtId="0" fontId="7" fillId="0" borderId="5" xfId="0" applyFont="1" applyBorder="1" applyAlignment="1" applyProtection="1">
      <alignment vertical="center"/>
    </xf>
    <xf numFmtId="165" fontId="7" fillId="0" borderId="13" xfId="1" applyNumberFormat="1" applyFont="1" applyFill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left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center"/>
    </xf>
    <xf numFmtId="0" fontId="10" fillId="0" borderId="6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 wrapText="1"/>
    </xf>
    <xf numFmtId="14" fontId="7" fillId="0" borderId="13" xfId="0" applyNumberFormat="1" applyFont="1" applyFill="1" applyBorder="1" applyAlignment="1" applyProtection="1">
      <alignment horizontal="center" vertical="center"/>
      <protection locked="0"/>
    </xf>
    <xf numFmtId="0" fontId="8" fillId="0" borderId="10" xfId="0" applyFont="1" applyFill="1" applyBorder="1" applyAlignment="1" applyProtection="1">
      <alignment horizontal="center"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justify" vertical="center"/>
    </xf>
    <xf numFmtId="0" fontId="8" fillId="0" borderId="0" xfId="0" applyFont="1" applyFill="1" applyBorder="1" applyAlignment="1" applyProtection="1">
      <alignment horizontal="right" vertical="center"/>
    </xf>
    <xf numFmtId="0" fontId="7" fillId="0" borderId="0" xfId="0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left" vertical="center"/>
      <protection locked="0"/>
    </xf>
    <xf numFmtId="14" fontId="7" fillId="0" borderId="0" xfId="0" applyNumberFormat="1" applyFont="1" applyAlignment="1" applyProtection="1"/>
    <xf numFmtId="0" fontId="7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center" vertical="center" wrapText="1"/>
    </xf>
    <xf numFmtId="0" fontId="7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right" vertical="center"/>
    </xf>
    <xf numFmtId="15" fontId="7" fillId="0" borderId="14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 applyBorder="1" applyAlignment="1" applyProtection="1">
      <alignment horizontal="justify"/>
    </xf>
    <xf numFmtId="0" fontId="1" fillId="0" borderId="0" xfId="0" applyFont="1" applyAlignment="1"/>
    <xf numFmtId="0" fontId="1" fillId="0" borderId="0" xfId="0" applyFont="1" applyAlignment="1">
      <alignment vertical="justify"/>
    </xf>
    <xf numFmtId="0" fontId="1" fillId="3" borderId="0" xfId="0" applyFont="1" applyFill="1" applyAlignment="1">
      <alignment vertical="justify"/>
    </xf>
    <xf numFmtId="0" fontId="1" fillId="4" borderId="0" xfId="0" applyFont="1" applyFill="1" applyAlignment="1">
      <alignment vertical="justify"/>
    </xf>
    <xf numFmtId="0" fontId="1" fillId="0" borderId="0" xfId="0" applyFont="1" applyFill="1" applyAlignment="1">
      <alignment vertical="justify"/>
    </xf>
    <xf numFmtId="0" fontId="1" fillId="0" borderId="0" xfId="0" applyFont="1" applyAlignment="1">
      <alignment horizontal="justify" vertical="justify"/>
    </xf>
    <xf numFmtId="0" fontId="7" fillId="0" borderId="0" xfId="0" applyFont="1" applyFill="1" applyBorder="1" applyAlignment="1" applyProtection="1">
      <alignment vertical="top" wrapText="1"/>
      <protection locked="0"/>
    </xf>
    <xf numFmtId="0" fontId="1" fillId="5" borderId="0" xfId="0" applyFont="1" applyFill="1" applyAlignment="1"/>
    <xf numFmtId="0" fontId="10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 wrapText="1"/>
      <protection locked="0"/>
    </xf>
    <xf numFmtId="0" fontId="7" fillId="0" borderId="0" xfId="0" applyFont="1" applyFill="1" applyBorder="1" applyAlignment="1" applyProtection="1">
      <alignment horizontal="right" vertical="center" wrapText="1"/>
      <protection locked="0"/>
    </xf>
    <xf numFmtId="0" fontId="7" fillId="0" borderId="18" xfId="0" applyFont="1" applyFill="1" applyBorder="1" applyAlignment="1" applyProtection="1">
      <alignment vertical="center" wrapText="1"/>
      <protection locked="0"/>
    </xf>
    <xf numFmtId="0" fontId="7" fillId="0" borderId="33" xfId="0" applyFont="1" applyFill="1" applyBorder="1" applyAlignment="1" applyProtection="1">
      <alignment vertical="center" wrapText="1"/>
      <protection locked="0"/>
    </xf>
    <xf numFmtId="0" fontId="7" fillId="0" borderId="36" xfId="0" applyFont="1" applyFill="1" applyBorder="1" applyAlignment="1" applyProtection="1">
      <alignment vertical="center" wrapText="1"/>
      <protection locked="0"/>
    </xf>
    <xf numFmtId="0" fontId="8" fillId="0" borderId="16" xfId="0" applyFont="1" applyFill="1" applyBorder="1" applyAlignment="1" applyProtection="1">
      <alignment vertical="center"/>
    </xf>
    <xf numFmtId="0" fontId="14" fillId="0" borderId="38" xfId="0" applyFont="1" applyFill="1" applyBorder="1" applyAlignment="1" applyProtection="1">
      <alignment vertical="center" wrapText="1"/>
      <protection locked="0"/>
    </xf>
    <xf numFmtId="0" fontId="7" fillId="0" borderId="38" xfId="0" applyFont="1" applyFill="1" applyBorder="1" applyAlignment="1" applyProtection="1">
      <alignment vertical="center" wrapText="1"/>
      <protection locked="0"/>
    </xf>
    <xf numFmtId="0" fontId="7" fillId="0" borderId="39" xfId="0" applyFont="1" applyFill="1" applyBorder="1" applyAlignment="1" applyProtection="1">
      <alignment vertical="center" wrapText="1"/>
      <protection locked="0"/>
    </xf>
    <xf numFmtId="0" fontId="8" fillId="0" borderId="17" xfId="0" applyFont="1" applyFill="1" applyBorder="1" applyAlignment="1" applyProtection="1">
      <alignment horizontal="center" vertical="center" wrapText="1"/>
    </xf>
    <xf numFmtId="15" fontId="7" fillId="0" borderId="14" xfId="0" applyNumberFormat="1" applyFont="1" applyFill="1" applyBorder="1" applyAlignment="1" applyProtection="1">
      <alignment vertical="center" wrapText="1"/>
      <protection locked="0"/>
    </xf>
    <xf numFmtId="15" fontId="7" fillId="0" borderId="18" xfId="0" applyNumberFormat="1" applyFont="1" applyFill="1" applyBorder="1" applyAlignment="1" applyProtection="1">
      <alignment vertical="center" wrapText="1"/>
      <protection locked="0"/>
    </xf>
    <xf numFmtId="0" fontId="8" fillId="0" borderId="35" xfId="0" applyFont="1" applyFill="1" applyBorder="1" applyAlignment="1" applyProtection="1">
      <alignment horizontal="center" vertical="center"/>
    </xf>
    <xf numFmtId="15" fontId="7" fillId="0" borderId="33" xfId="0" applyNumberFormat="1" applyFont="1" applyFill="1" applyBorder="1" applyAlignment="1" applyProtection="1">
      <alignment vertical="center" wrapText="1"/>
      <protection locked="0"/>
    </xf>
    <xf numFmtId="15" fontId="7" fillId="0" borderId="36" xfId="0" applyNumberFormat="1" applyFont="1" applyFill="1" applyBorder="1" applyAlignment="1" applyProtection="1">
      <alignment vertical="center" wrapText="1"/>
      <protection locked="0"/>
    </xf>
    <xf numFmtId="0" fontId="7" fillId="0" borderId="13" xfId="0" applyFont="1" applyFill="1" applyBorder="1" applyAlignment="1" applyProtection="1">
      <alignment vertical="center" wrapText="1"/>
      <protection locked="0"/>
    </xf>
    <xf numFmtId="0" fontId="7" fillId="0" borderId="0" xfId="0" applyFont="1" applyFill="1" applyBorder="1" applyAlignment="1" applyProtection="1">
      <protection locked="0"/>
    </xf>
    <xf numFmtId="15" fontId="7" fillId="0" borderId="0" xfId="0" applyNumberFormat="1" applyFont="1" applyFill="1" applyBorder="1" applyAlignment="1" applyProtection="1">
      <alignment horizontal="center" vertical="center"/>
      <protection locked="0"/>
    </xf>
    <xf numFmtId="15" fontId="7" fillId="0" borderId="0" xfId="0" quotePrefix="1" applyNumberFormat="1" applyFont="1" applyFill="1" applyBorder="1" applyAlignment="1" applyProtection="1">
      <alignment horizontal="center" vertical="center"/>
      <protection locked="0"/>
    </xf>
    <xf numFmtId="166" fontId="7" fillId="0" borderId="13" xfId="0" applyNumberFormat="1" applyFont="1" applyFill="1" applyBorder="1" applyAlignment="1" applyProtection="1">
      <alignment vertical="center"/>
      <protection locked="0"/>
    </xf>
    <xf numFmtId="0" fontId="7" fillId="0" borderId="38" xfId="0" applyFont="1" applyFill="1" applyBorder="1" applyAlignment="1" applyProtection="1"/>
    <xf numFmtId="0" fontId="7" fillId="0" borderId="14" xfId="0" applyFont="1" applyFill="1" applyBorder="1" applyAlignment="1" applyProtection="1"/>
    <xf numFmtId="0" fontId="7" fillId="0" borderId="43" xfId="0" applyFont="1" applyFill="1" applyBorder="1" applyAlignment="1" applyProtection="1">
      <alignment vertical="center" wrapText="1"/>
      <protection locked="0"/>
    </xf>
    <xf numFmtId="0" fontId="7" fillId="0" borderId="42" xfId="0" applyFont="1" applyFill="1" applyBorder="1" applyAlignment="1" applyProtection="1">
      <alignment vertical="center" wrapText="1"/>
      <protection locked="0"/>
    </xf>
    <xf numFmtId="0" fontId="7" fillId="0" borderId="47" xfId="0" applyFont="1" applyFill="1" applyBorder="1" applyAlignment="1" applyProtection="1">
      <alignment vertical="center" wrapText="1"/>
      <protection locked="0"/>
    </xf>
    <xf numFmtId="0" fontId="7" fillId="0" borderId="37" xfId="0" applyFont="1" applyFill="1" applyBorder="1" applyAlignment="1" applyProtection="1"/>
    <xf numFmtId="0" fontId="11" fillId="0" borderId="34" xfId="0" applyFont="1" applyFill="1" applyBorder="1" applyAlignment="1" applyProtection="1">
      <alignment horizontal="center" vertical="center" wrapText="1"/>
    </xf>
    <xf numFmtId="166" fontId="7" fillId="0" borderId="32" xfId="0" applyNumberFormat="1" applyFont="1" applyFill="1" applyBorder="1" applyAlignment="1" applyProtection="1">
      <alignment vertical="center"/>
      <protection locked="0"/>
    </xf>
    <xf numFmtId="166" fontId="7" fillId="0" borderId="42" xfId="0" applyNumberFormat="1" applyFont="1" applyFill="1" applyBorder="1" applyAlignment="1" applyProtection="1">
      <alignment vertical="center"/>
      <protection locked="0"/>
    </xf>
    <xf numFmtId="166" fontId="7" fillId="0" borderId="47" xfId="0" applyNumberFormat="1" applyFont="1" applyFill="1" applyBorder="1" applyAlignment="1" applyProtection="1">
      <alignment vertical="center"/>
      <protection locked="0"/>
    </xf>
    <xf numFmtId="0" fontId="18" fillId="0" borderId="0" xfId="0" applyFont="1" applyAlignment="1">
      <alignment horizontal="center"/>
    </xf>
    <xf numFmtId="0" fontId="17" fillId="0" borderId="0" xfId="0" applyFont="1" applyAlignment="1"/>
    <xf numFmtId="0" fontId="0" fillId="0" borderId="0" xfId="0" applyAlignment="1">
      <alignment horizontal="justify" vertical="justify"/>
    </xf>
    <xf numFmtId="0" fontId="6" fillId="0" borderId="0" xfId="0" applyFont="1" applyAlignment="1">
      <alignment vertical="justify"/>
    </xf>
    <xf numFmtId="0" fontId="6" fillId="0" borderId="0" xfId="0" applyFont="1" applyAlignment="1"/>
    <xf numFmtId="0" fontId="6" fillId="0" borderId="0" xfId="0" applyFont="1" applyFill="1" applyBorder="1" applyAlignment="1" applyProtection="1"/>
    <xf numFmtId="0" fontId="7" fillId="0" borderId="13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justify" vertical="top"/>
    </xf>
    <xf numFmtId="0" fontId="2" fillId="0" borderId="0" xfId="0" applyFont="1" applyAlignment="1"/>
    <xf numFmtId="0" fontId="17" fillId="0" borderId="0" xfId="0" applyFont="1" applyAlignment="1">
      <alignment horizontal="left"/>
    </xf>
    <xf numFmtId="0" fontId="7" fillId="0" borderId="48" xfId="0" applyFont="1" applyFill="1" applyBorder="1" applyAlignment="1" applyProtection="1"/>
    <xf numFmtId="0" fontId="1" fillId="5" borderId="0" xfId="0" applyFont="1" applyFill="1" applyAlignment="1">
      <alignment vertical="justify"/>
    </xf>
    <xf numFmtId="0" fontId="7" fillId="0" borderId="49" xfId="0" applyFont="1" applyFill="1" applyBorder="1" applyAlignment="1" applyProtection="1">
      <alignment vertical="center" wrapText="1"/>
      <protection locked="0"/>
    </xf>
    <xf numFmtId="0" fontId="7" fillId="0" borderId="13" xfId="0" applyFont="1" applyFill="1" applyBorder="1" applyAlignment="1" applyProtection="1">
      <alignment horizontal="center" vertical="center"/>
      <protection locked="0"/>
    </xf>
    <xf numFmtId="0" fontId="10" fillId="0" borderId="52" xfId="0" applyFont="1" applyFill="1" applyBorder="1" applyAlignment="1" applyProtection="1">
      <alignment vertical="center"/>
    </xf>
    <xf numFmtId="0" fontId="10" fillId="0" borderId="53" xfId="0" applyFont="1" applyFill="1" applyBorder="1" applyAlignment="1" applyProtection="1">
      <alignment horizontal="center" vertical="justify"/>
    </xf>
    <xf numFmtId="0" fontId="10" fillId="0" borderId="54" xfId="0" applyFont="1" applyFill="1" applyBorder="1" applyAlignment="1" applyProtection="1">
      <alignment vertical="center"/>
    </xf>
    <xf numFmtId="0" fontId="10" fillId="0" borderId="11" xfId="0" applyFont="1" applyFill="1" applyBorder="1" applyAlignment="1" applyProtection="1">
      <alignment vertical="center"/>
    </xf>
    <xf numFmtId="0" fontId="11" fillId="0" borderId="53" xfId="0" applyFont="1" applyFill="1" applyBorder="1" applyAlignment="1" applyProtection="1">
      <alignment vertical="center"/>
    </xf>
    <xf numFmtId="0" fontId="10" fillId="0" borderId="53" xfId="0" applyFont="1" applyFill="1" applyBorder="1" applyAlignment="1" applyProtection="1">
      <alignment vertical="center" wrapText="1"/>
    </xf>
    <xf numFmtId="0" fontId="10" fillId="0" borderId="11" xfId="0" applyFont="1" applyFill="1" applyBorder="1" applyAlignment="1" applyProtection="1">
      <alignment vertical="center" wrapText="1"/>
    </xf>
    <xf numFmtId="0" fontId="10" fillId="0" borderId="34" xfId="0" applyFont="1" applyFill="1" applyBorder="1" applyAlignment="1" applyProtection="1">
      <alignment vertical="center" wrapText="1"/>
    </xf>
    <xf numFmtId="0" fontId="7" fillId="0" borderId="16" xfId="0" applyFont="1" applyFill="1" applyBorder="1" applyAlignment="1" applyProtection="1">
      <alignment vertical="center" wrapText="1"/>
    </xf>
    <xf numFmtId="14" fontId="7" fillId="0" borderId="16" xfId="0" applyNumberFormat="1" applyFont="1" applyFill="1" applyBorder="1" applyAlignment="1" applyProtection="1">
      <alignment vertical="center"/>
    </xf>
    <xf numFmtId="14" fontId="7" fillId="0" borderId="35" xfId="0" applyNumberFormat="1" applyFont="1" applyFill="1" applyBorder="1" applyAlignment="1" applyProtection="1">
      <alignment vertical="center"/>
    </xf>
    <xf numFmtId="0" fontId="1" fillId="0" borderId="45" xfId="0" applyFont="1" applyFill="1" applyBorder="1" applyAlignment="1" applyProtection="1">
      <alignment horizontal="center" vertical="center" wrapText="1"/>
      <protection locked="0"/>
    </xf>
    <xf numFmtId="0" fontId="1" fillId="0" borderId="38" xfId="0" applyFont="1" applyFill="1" applyBorder="1" applyAlignment="1" applyProtection="1">
      <alignment horizontal="center" vertical="center" wrapText="1"/>
      <protection locked="0"/>
    </xf>
    <xf numFmtId="0" fontId="1" fillId="0" borderId="46" xfId="0" applyFont="1" applyFill="1" applyBorder="1" applyAlignment="1" applyProtection="1">
      <alignment horizontal="center" vertical="center" wrapText="1"/>
      <protection locked="0"/>
    </xf>
    <xf numFmtId="0" fontId="1" fillId="0" borderId="39" xfId="0" applyFont="1" applyFill="1" applyBorder="1" applyAlignment="1" applyProtection="1">
      <alignment horizontal="center" vertical="center" wrapText="1"/>
      <protection locked="0"/>
    </xf>
    <xf numFmtId="0" fontId="1" fillId="0" borderId="44" xfId="0" applyFont="1" applyFill="1" applyBorder="1" applyAlignment="1" applyProtection="1">
      <alignment horizontal="center" vertical="center"/>
    </xf>
    <xf numFmtId="0" fontId="1" fillId="0" borderId="16" xfId="0" applyFont="1" applyFill="1" applyBorder="1" applyAlignment="1" applyProtection="1">
      <alignment horizontal="center" vertical="center"/>
    </xf>
    <xf numFmtId="0" fontId="1" fillId="0" borderId="38" xfId="0" applyFont="1" applyFill="1" applyBorder="1" applyAlignment="1" applyProtection="1">
      <alignment vertical="center" wrapText="1"/>
      <protection locked="0"/>
    </xf>
    <xf numFmtId="14" fontId="1" fillId="0" borderId="38" xfId="0" applyNumberFormat="1" applyFont="1" applyFill="1" applyBorder="1" applyAlignment="1" applyProtection="1">
      <alignment vertical="center" wrapText="1"/>
      <protection locked="0"/>
    </xf>
    <xf numFmtId="14" fontId="1" fillId="0" borderId="33" xfId="0" applyNumberFormat="1" applyFont="1" applyFill="1" applyBorder="1" applyAlignment="1" applyProtection="1">
      <alignment vertical="center" wrapText="1"/>
      <protection locked="0"/>
    </xf>
    <xf numFmtId="14" fontId="7" fillId="0" borderId="38" xfId="0" applyNumberFormat="1" applyFont="1" applyFill="1" applyBorder="1" applyAlignment="1" applyProtection="1">
      <alignment vertical="center" wrapText="1"/>
      <protection locked="0"/>
    </xf>
    <xf numFmtId="14" fontId="7" fillId="0" borderId="33" xfId="0" applyNumberFormat="1" applyFont="1" applyFill="1" applyBorder="1" applyAlignment="1" applyProtection="1">
      <alignment vertical="center" wrapText="1"/>
      <protection locked="0"/>
    </xf>
    <xf numFmtId="0" fontId="10" fillId="0" borderId="12" xfId="0" applyFont="1" applyFill="1" applyBorder="1" applyAlignment="1" applyProtection="1">
      <alignment horizontal="center" vertical="center" wrapText="1"/>
    </xf>
    <xf numFmtId="0" fontId="7" fillId="0" borderId="5" xfId="0" applyFont="1" applyFill="1" applyBorder="1" applyAlignment="1" applyProtection="1">
      <alignment vertical="top" wrapText="1"/>
    </xf>
    <xf numFmtId="0" fontId="7" fillId="0" borderId="6" xfId="0" applyFont="1" applyFill="1" applyBorder="1" applyAlignment="1" applyProtection="1">
      <alignment vertical="top" wrapText="1"/>
    </xf>
    <xf numFmtId="0" fontId="7" fillId="0" borderId="0" xfId="0" applyFont="1" applyFill="1" applyBorder="1" applyAlignment="1" applyProtection="1">
      <alignment horizontal="right"/>
    </xf>
    <xf numFmtId="0" fontId="6" fillId="2" borderId="12" xfId="0" applyFont="1" applyFill="1" applyBorder="1" applyAlignment="1" applyProtection="1"/>
    <xf numFmtId="0" fontId="7" fillId="0" borderId="32" xfId="0" applyFont="1" applyFill="1" applyBorder="1" applyAlignment="1" applyProtection="1"/>
    <xf numFmtId="0" fontId="11" fillId="0" borderId="10" xfId="0" applyFont="1" applyFill="1" applyBorder="1" applyAlignment="1" applyProtection="1">
      <alignment horizontal="center" vertical="center"/>
    </xf>
    <xf numFmtId="0" fontId="10" fillId="0" borderId="10" xfId="0" applyFont="1" applyFill="1" applyBorder="1" applyAlignment="1" applyProtection="1">
      <alignment horizontal="center" vertical="center" wrapText="1"/>
    </xf>
    <xf numFmtId="0" fontId="7" fillId="0" borderId="2" xfId="0" applyFont="1" applyFill="1" applyBorder="1" applyAlignment="1" applyProtection="1">
      <alignment horizontal="right"/>
    </xf>
    <xf numFmtId="0" fontId="7" fillId="0" borderId="2" xfId="0" applyFont="1" applyFill="1" applyBorder="1" applyAlignment="1" applyProtection="1">
      <alignment horizontal="center"/>
    </xf>
    <xf numFmtId="0" fontId="7" fillId="0" borderId="2" xfId="0" applyFont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10" fillId="0" borderId="54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center" vertical="center"/>
    </xf>
    <xf numFmtId="0" fontId="10" fillId="0" borderId="12" xfId="0" applyFont="1" applyFill="1" applyBorder="1" applyAlignment="1" applyProtection="1">
      <alignment horizontal="center" vertical="center"/>
    </xf>
    <xf numFmtId="0" fontId="10" fillId="0" borderId="15" xfId="0" applyFont="1" applyFill="1" applyBorder="1" applyAlignment="1" applyProtection="1">
      <alignment horizontal="center" vertical="center" wrapText="1"/>
    </xf>
    <xf numFmtId="0" fontId="10" fillId="0" borderId="11" xfId="0" applyFont="1" applyFill="1" applyBorder="1" applyAlignment="1" applyProtection="1">
      <alignment horizontal="center" vertical="center" wrapText="1"/>
    </xf>
    <xf numFmtId="0" fontId="10" fillId="0" borderId="34" xfId="0" applyFont="1" applyFill="1" applyBorder="1" applyAlignment="1" applyProtection="1">
      <alignment horizontal="center" vertical="center" wrapText="1"/>
    </xf>
    <xf numFmtId="0" fontId="7" fillId="0" borderId="55" xfId="0" applyFont="1" applyFill="1" applyBorder="1" applyAlignment="1" applyProtection="1">
      <alignment horizontal="left" vertical="center" wrapText="1"/>
    </xf>
    <xf numFmtId="0" fontId="7" fillId="0" borderId="56" xfId="0" applyFont="1" applyFill="1" applyBorder="1" applyAlignment="1" applyProtection="1">
      <alignment horizontal="left" vertical="center" wrapText="1"/>
    </xf>
    <xf numFmtId="0" fontId="7" fillId="0" borderId="49" xfId="0" applyFont="1" applyFill="1" applyBorder="1" applyAlignment="1" applyProtection="1">
      <alignment horizontal="left" vertical="center" wrapText="1"/>
    </xf>
    <xf numFmtId="0" fontId="1" fillId="0" borderId="40" xfId="0" applyFont="1" applyFill="1" applyBorder="1" applyAlignment="1" applyProtection="1">
      <alignment horizontal="left" vertical="center" wrapText="1"/>
      <protection locked="0"/>
    </xf>
    <xf numFmtId="0" fontId="1" fillId="0" borderId="14" xfId="0" applyFont="1" applyFill="1" applyBorder="1" applyAlignment="1" applyProtection="1">
      <alignment horizontal="left" vertical="center" wrapText="1"/>
      <protection locked="0"/>
    </xf>
    <xf numFmtId="0" fontId="1" fillId="0" borderId="33" xfId="0" applyFont="1" applyFill="1" applyBorder="1" applyAlignment="1" applyProtection="1">
      <alignment horizontal="left" vertical="center" wrapText="1"/>
      <protection locked="0"/>
    </xf>
    <xf numFmtId="0" fontId="7" fillId="0" borderId="40" xfId="0" applyFont="1" applyFill="1" applyBorder="1" applyAlignment="1" applyProtection="1">
      <alignment horizontal="left" vertical="center" wrapText="1"/>
      <protection locked="0"/>
    </xf>
    <xf numFmtId="0" fontId="7" fillId="0" borderId="14" xfId="0" applyFont="1" applyFill="1" applyBorder="1" applyAlignment="1" applyProtection="1">
      <alignment horizontal="left" vertical="center" wrapText="1"/>
      <protection locked="0"/>
    </xf>
    <xf numFmtId="0" fontId="7" fillId="0" borderId="33" xfId="0" applyFont="1" applyFill="1" applyBorder="1" applyAlignment="1" applyProtection="1">
      <alignment horizontal="left" vertical="center" wrapText="1"/>
      <protection locked="0"/>
    </xf>
    <xf numFmtId="0" fontId="10" fillId="0" borderId="12" xfId="0" applyFont="1" applyFill="1" applyBorder="1" applyAlignment="1" applyProtection="1">
      <alignment horizontal="center" vertical="center" wrapText="1"/>
    </xf>
    <xf numFmtId="0" fontId="7" fillId="0" borderId="3" xfId="0" applyFont="1" applyFill="1" applyBorder="1" applyAlignment="1" applyProtection="1">
      <alignment horizontal="left" vertical="top" wrapText="1"/>
    </xf>
    <xf numFmtId="0" fontId="7" fillId="0" borderId="1" xfId="0" applyFont="1" applyFill="1" applyBorder="1" applyAlignment="1" applyProtection="1">
      <alignment horizontal="left" vertical="top" wrapText="1"/>
    </xf>
    <xf numFmtId="0" fontId="7" fillId="0" borderId="4" xfId="0" applyFont="1" applyFill="1" applyBorder="1" applyAlignment="1" applyProtection="1">
      <alignment horizontal="left" vertical="top" wrapText="1"/>
    </xf>
    <xf numFmtId="0" fontId="7" fillId="0" borderId="5" xfId="0" applyFont="1" applyFill="1" applyBorder="1" applyAlignment="1" applyProtection="1">
      <alignment horizontal="left" vertical="top" wrapText="1"/>
    </xf>
    <xf numFmtId="0" fontId="7" fillId="0" borderId="0" xfId="0" applyFont="1" applyFill="1" applyBorder="1" applyAlignment="1" applyProtection="1">
      <alignment horizontal="left" vertical="top" wrapText="1"/>
    </xf>
    <xf numFmtId="0" fontId="7" fillId="0" borderId="6" xfId="0" applyFont="1" applyFill="1" applyBorder="1" applyAlignment="1" applyProtection="1">
      <alignment horizontal="left" vertical="top" wrapText="1"/>
    </xf>
    <xf numFmtId="0" fontId="7" fillId="0" borderId="8" xfId="0" applyFont="1" applyFill="1" applyBorder="1" applyAlignment="1" applyProtection="1">
      <alignment horizontal="left" vertical="top" wrapText="1"/>
    </xf>
    <xf numFmtId="0" fontId="7" fillId="0" borderId="2" xfId="0" applyFont="1" applyFill="1" applyBorder="1" applyAlignment="1" applyProtection="1">
      <alignment horizontal="left" vertical="top" wrapText="1"/>
    </xf>
    <xf numFmtId="0" fontId="7" fillId="0" borderId="9" xfId="0" applyFont="1" applyFill="1" applyBorder="1" applyAlignment="1" applyProtection="1">
      <alignment horizontal="left" vertical="top" wrapText="1"/>
    </xf>
    <xf numFmtId="0" fontId="7" fillId="0" borderId="40" xfId="0" applyFont="1" applyFill="1" applyBorder="1" applyAlignment="1" applyProtection="1">
      <alignment horizontal="center" vertical="center" wrapText="1"/>
      <protection locked="0"/>
    </xf>
    <xf numFmtId="0" fontId="7" fillId="0" borderId="14" xfId="0" applyFont="1" applyFill="1" applyBorder="1" applyAlignment="1" applyProtection="1">
      <alignment horizontal="center" vertical="center" wrapText="1"/>
      <protection locked="0"/>
    </xf>
    <xf numFmtId="0" fontId="7" fillId="0" borderId="33" xfId="0" applyFont="1" applyFill="1" applyBorder="1" applyAlignment="1" applyProtection="1">
      <alignment horizontal="center" vertical="center" wrapText="1"/>
      <protection locked="0"/>
    </xf>
    <xf numFmtId="0" fontId="7" fillId="0" borderId="40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7" fillId="0" borderId="23" xfId="0" applyFont="1" applyFill="1" applyBorder="1" applyAlignment="1" applyProtection="1">
      <alignment horizontal="center" vertical="center"/>
      <protection locked="0"/>
    </xf>
    <xf numFmtId="0" fontId="7" fillId="0" borderId="20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6" borderId="21" xfId="0" applyFont="1" applyFill="1" applyBorder="1" applyAlignment="1" applyProtection="1">
      <alignment horizontal="left" vertical="center" wrapText="1" indent="1"/>
      <protection locked="0"/>
    </xf>
    <xf numFmtId="0" fontId="7" fillId="6" borderId="13" xfId="0" applyFont="1" applyFill="1" applyBorder="1" applyAlignment="1" applyProtection="1">
      <alignment horizontal="left" vertical="center" wrapText="1" indent="1"/>
      <protection locked="0"/>
    </xf>
    <xf numFmtId="0" fontId="7" fillId="6" borderId="22" xfId="0" applyFont="1" applyFill="1" applyBorder="1" applyAlignment="1" applyProtection="1">
      <alignment horizontal="left" vertical="center" wrapText="1" indent="1"/>
      <protection locked="0"/>
    </xf>
    <xf numFmtId="0" fontId="8" fillId="0" borderId="10" xfId="0" applyFont="1" applyFill="1" applyBorder="1" applyAlignment="1" applyProtection="1">
      <alignment horizontal="center" vertical="center" wrapText="1"/>
    </xf>
    <xf numFmtId="0" fontId="7" fillId="0" borderId="15" xfId="0" applyFont="1" applyFill="1" applyBorder="1" applyAlignment="1" applyProtection="1">
      <alignment horizontal="justify" vertical="center" wrapText="1"/>
    </xf>
    <xf numFmtId="0" fontId="7" fillId="0" borderId="11" xfId="0" applyFont="1" applyFill="1" applyBorder="1" applyAlignment="1" applyProtection="1">
      <alignment horizontal="justify" vertical="center" wrapText="1"/>
    </xf>
    <xf numFmtId="0" fontId="7" fillId="0" borderId="12" xfId="0" applyFont="1" applyFill="1" applyBorder="1" applyAlignment="1" applyProtection="1">
      <alignment horizontal="justify" vertical="center" wrapText="1"/>
    </xf>
    <xf numFmtId="0" fontId="7" fillId="0" borderId="0" xfId="0" applyFont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protection locked="0"/>
    </xf>
    <xf numFmtId="0" fontId="7" fillId="0" borderId="14" xfId="0" applyFont="1" applyFill="1" applyBorder="1" applyAlignment="1" applyProtection="1">
      <protection locked="0"/>
    </xf>
    <xf numFmtId="15" fontId="7" fillId="0" borderId="13" xfId="0" applyNumberFormat="1" applyFont="1" applyFill="1" applyBorder="1" applyAlignment="1" applyProtection="1">
      <alignment horizontal="center" vertical="center"/>
      <protection locked="0"/>
    </xf>
    <xf numFmtId="15" fontId="7" fillId="0" borderId="13" xfId="0" quotePrefix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left" vertical="center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8" fillId="0" borderId="5" xfId="0" applyFont="1" applyFill="1" applyBorder="1" applyAlignment="1" applyProtection="1">
      <alignment horizontal="justify" vertical="center"/>
    </xf>
    <xf numFmtId="0" fontId="8" fillId="0" borderId="0" xfId="0" applyFont="1" applyFill="1" applyBorder="1" applyAlignment="1" applyProtection="1">
      <alignment horizontal="justify" vertical="center"/>
    </xf>
    <xf numFmtId="0" fontId="8" fillId="0" borderId="0" xfId="0" applyFont="1" applyFill="1" applyBorder="1" applyAlignment="1" applyProtection="1">
      <alignment horizontal="right" vertical="center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13" xfId="0" applyFont="1" applyFill="1" applyBorder="1" applyAlignment="1" applyProtection="1">
      <alignment horizontal="center" vertical="center" wrapText="1"/>
      <protection locked="0"/>
    </xf>
    <xf numFmtId="0" fontId="7" fillId="0" borderId="13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vertical="center" wrapText="1"/>
    </xf>
    <xf numFmtId="0" fontId="7" fillId="0" borderId="6" xfId="0" applyFont="1" applyFill="1" applyBorder="1" applyAlignment="1" applyProtection="1">
      <alignment vertical="center" wrapText="1"/>
    </xf>
    <xf numFmtId="0" fontId="7" fillId="0" borderId="50" xfId="0" applyFont="1" applyFill="1" applyBorder="1" applyAlignment="1" applyProtection="1">
      <alignment vertical="center" wrapText="1"/>
    </xf>
    <xf numFmtId="0" fontId="7" fillId="0" borderId="7" xfId="0" applyFont="1" applyFill="1" applyBorder="1" applyAlignment="1" applyProtection="1">
      <alignment vertical="center" wrapText="1"/>
    </xf>
    <xf numFmtId="0" fontId="7" fillId="0" borderId="51" xfId="0" applyFont="1" applyFill="1" applyBorder="1" applyAlignment="1" applyProtection="1">
      <alignment vertical="center" wrapText="1"/>
    </xf>
    <xf numFmtId="0" fontId="7" fillId="0" borderId="41" xfId="0" applyFont="1" applyFill="1" applyBorder="1" applyAlignment="1" applyProtection="1">
      <alignment horizontal="center" vertical="center"/>
      <protection locked="0"/>
    </xf>
    <xf numFmtId="0" fontId="7" fillId="0" borderId="18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</xf>
    <xf numFmtId="164" fontId="7" fillId="0" borderId="13" xfId="0" applyNumberFormat="1" applyFont="1" applyFill="1" applyBorder="1" applyAlignment="1" applyProtection="1">
      <alignment horizontal="center"/>
      <protection locked="0"/>
    </xf>
    <xf numFmtId="0" fontId="7" fillId="0" borderId="13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center" vertical="center" wrapText="1"/>
    </xf>
    <xf numFmtId="0" fontId="7" fillId="0" borderId="3" xfId="0" applyFont="1" applyFill="1" applyBorder="1" applyAlignment="1" applyProtection="1">
      <alignment vertical="center" wrapText="1"/>
    </xf>
    <xf numFmtId="0" fontId="7" fillId="0" borderId="1" xfId="0" applyFont="1" applyFill="1" applyBorder="1" applyAlignment="1" applyProtection="1">
      <alignment vertical="center" wrapText="1"/>
    </xf>
    <xf numFmtId="0" fontId="7" fillId="0" borderId="4" xfId="0" applyFont="1" applyFill="1" applyBorder="1" applyAlignment="1" applyProtection="1">
      <alignment vertical="center" wrapText="1"/>
    </xf>
    <xf numFmtId="0" fontId="13" fillId="0" borderId="24" xfId="0" applyFont="1" applyBorder="1" applyAlignment="1" applyProtection="1">
      <alignment horizontal="center" vertical="center" wrapText="1"/>
    </xf>
    <xf numFmtId="0" fontId="13" fillId="0" borderId="25" xfId="0" applyFont="1" applyBorder="1" applyAlignment="1" applyProtection="1">
      <alignment horizontal="center" vertical="center" wrapText="1"/>
    </xf>
    <xf numFmtId="0" fontId="13" fillId="0" borderId="26" xfId="0" applyFont="1" applyBorder="1" applyAlignment="1" applyProtection="1">
      <alignment horizontal="center" vertical="center" wrapText="1"/>
    </xf>
    <xf numFmtId="0" fontId="13" fillId="0" borderId="27" xfId="0" applyFont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 vertical="center" wrapText="1"/>
    </xf>
    <xf numFmtId="0" fontId="13" fillId="0" borderId="28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13" fillId="0" borderId="30" xfId="0" applyFont="1" applyBorder="1" applyAlignment="1" applyProtection="1">
      <alignment horizontal="center" vertical="center" wrapText="1"/>
    </xf>
    <xf numFmtId="0" fontId="13" fillId="0" borderId="31" xfId="0" applyFont="1" applyBorder="1" applyAlignment="1" applyProtection="1">
      <alignment horizontal="center" vertical="center" wrapText="1"/>
    </xf>
    <xf numFmtId="49" fontId="8" fillId="0" borderId="3" xfId="0" applyNumberFormat="1" applyFont="1" applyFill="1" applyBorder="1" applyAlignment="1" applyProtection="1">
      <alignment horizontal="center" vertical="center"/>
    </xf>
    <xf numFmtId="49" fontId="8" fillId="0" borderId="5" xfId="0" applyNumberFormat="1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justify" vertical="center" wrapText="1"/>
    </xf>
    <xf numFmtId="0" fontId="8" fillId="0" borderId="4" xfId="0" applyFont="1" applyFill="1" applyBorder="1" applyAlignment="1" applyProtection="1">
      <alignment horizontal="justify" vertical="center" wrapText="1"/>
    </xf>
    <xf numFmtId="0" fontId="8" fillId="0" borderId="0" xfId="0" applyFont="1" applyFill="1" applyBorder="1" applyAlignment="1" applyProtection="1">
      <alignment horizontal="justify" vertical="center" wrapText="1"/>
    </xf>
    <xf numFmtId="0" fontId="8" fillId="0" borderId="6" xfId="0" applyFont="1" applyFill="1" applyBorder="1" applyAlignment="1" applyProtection="1">
      <alignment horizontal="justify" vertical="center" wrapText="1"/>
    </xf>
    <xf numFmtId="0" fontId="7" fillId="0" borderId="1" xfId="0" applyFont="1" applyBorder="1" applyAlignment="1" applyProtection="1">
      <alignment horizontal="justify" vertical="center" wrapText="1"/>
      <protection locked="0"/>
    </xf>
    <xf numFmtId="0" fontId="7" fillId="0" borderId="0" xfId="0" applyFont="1" applyBorder="1" applyAlignment="1" applyProtection="1">
      <alignment horizontal="justify" vertical="center" wrapText="1"/>
      <protection locked="0"/>
    </xf>
    <xf numFmtId="0" fontId="8" fillId="2" borderId="15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8" fillId="2" borderId="12" xfId="0" applyFont="1" applyFill="1" applyBorder="1" applyAlignment="1" applyProtection="1">
      <alignment horizontal="center" vertical="center"/>
    </xf>
    <xf numFmtId="14" fontId="7" fillId="0" borderId="13" xfId="0" applyNumberFormat="1" applyFont="1" applyFill="1" applyBorder="1" applyAlignment="1" applyProtection="1">
      <alignment horizontal="center" vertical="center"/>
      <protection locked="0"/>
    </xf>
    <xf numFmtId="17" fontId="7" fillId="0" borderId="13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justify"/>
    </xf>
    <xf numFmtId="0" fontId="8" fillId="2" borderId="1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justify" vertical="center"/>
      <protection locked="0"/>
    </xf>
    <xf numFmtId="0" fontId="7" fillId="0" borderId="13" xfId="0" applyFont="1" applyFill="1" applyBorder="1" applyAlignment="1" applyProtection="1">
      <alignment horizontal="left" vertical="center"/>
      <protection locked="0"/>
    </xf>
    <xf numFmtId="0" fontId="8" fillId="0" borderId="13" xfId="0" applyFont="1" applyBorder="1" applyAlignment="1" applyProtection="1">
      <alignment horizontal="left" vertical="center"/>
      <protection locked="0"/>
    </xf>
    <xf numFmtId="0" fontId="7" fillId="0" borderId="13" xfId="0" applyFont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center" vertical="center"/>
    </xf>
    <xf numFmtId="0" fontId="8" fillId="0" borderId="15" xfId="0" applyFont="1" applyFill="1" applyBorder="1" applyAlignment="1" applyProtection="1">
      <alignment horizontal="center" vertical="center"/>
    </xf>
    <xf numFmtId="0" fontId="8" fillId="0" borderId="11" xfId="0" applyFont="1" applyFill="1" applyBorder="1" applyAlignment="1" applyProtection="1">
      <alignment horizontal="center" vertical="center"/>
    </xf>
    <xf numFmtId="0" fontId="8" fillId="0" borderId="12" xfId="0" applyFont="1" applyFill="1" applyBorder="1" applyAlignment="1" applyProtection="1">
      <alignment horizontal="center" vertical="center"/>
    </xf>
    <xf numFmtId="0" fontId="8" fillId="0" borderId="15" xfId="0" applyFont="1" applyFill="1" applyBorder="1" applyAlignment="1" applyProtection="1">
      <alignment horizontal="center" vertical="center" wrapText="1"/>
    </xf>
    <xf numFmtId="0" fontId="8" fillId="0" borderId="11" xfId="0" applyFont="1" applyFill="1" applyBorder="1" applyAlignment="1" applyProtection="1">
      <alignment horizontal="center" vertical="center" wrapText="1"/>
    </xf>
    <xf numFmtId="0" fontId="8" fillId="0" borderId="12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wrapText="1"/>
    </xf>
    <xf numFmtId="0" fontId="8" fillId="0" borderId="0" xfId="0" applyFont="1" applyFill="1" applyBorder="1" applyAlignment="1" applyProtection="1">
      <alignment horizontal="right"/>
    </xf>
    <xf numFmtId="0" fontId="8" fillId="2" borderId="15" xfId="0" applyFont="1" applyFill="1" applyBorder="1" applyAlignment="1" applyProtection="1">
      <alignment horizontal="center" wrapText="1"/>
    </xf>
    <xf numFmtId="0" fontId="8" fillId="2" borderId="11" xfId="0" applyFont="1" applyFill="1" applyBorder="1" applyAlignment="1" applyProtection="1">
      <alignment horizontal="center"/>
    </xf>
    <xf numFmtId="0" fontId="8" fillId="2" borderId="12" xfId="0" applyFont="1" applyFill="1" applyBorder="1" applyAlignment="1" applyProtection="1">
      <alignment horizontal="center"/>
    </xf>
    <xf numFmtId="0" fontId="7" fillId="0" borderId="3" xfId="0" applyFont="1" applyFill="1" applyBorder="1" applyAlignment="1" applyProtection="1">
      <alignment horizontal="center" vertical="center" wrapText="1"/>
    </xf>
    <xf numFmtId="0" fontId="7" fillId="0" borderId="1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7" fillId="0" borderId="5" xfId="0" applyFont="1" applyFill="1" applyBorder="1" applyAlignment="1" applyProtection="1">
      <alignment horizontal="center"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7" fillId="0" borderId="6" xfId="0" applyFont="1" applyFill="1" applyBorder="1" applyAlignment="1" applyProtection="1">
      <alignment horizontal="center" vertical="center" wrapText="1"/>
    </xf>
    <xf numFmtId="0" fontId="7" fillId="0" borderId="8" xfId="0" applyFont="1" applyFill="1" applyBorder="1" applyAlignment="1" applyProtection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</xf>
    <xf numFmtId="0" fontId="7" fillId="0" borderId="9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left"/>
    </xf>
    <xf numFmtId="0" fontId="8" fillId="2" borderId="15" xfId="0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</xf>
    <xf numFmtId="0" fontId="10" fillId="0" borderId="54" xfId="0" applyFont="1" applyFill="1" applyBorder="1" applyAlignment="1" applyProtection="1">
      <alignment horizontal="center" vertical="center" wrapText="1"/>
    </xf>
    <xf numFmtId="0" fontId="8" fillId="2" borderId="8" xfId="0" applyFont="1" applyFill="1" applyBorder="1" applyAlignment="1" applyProtection="1">
      <alignment horizontal="center"/>
    </xf>
    <xf numFmtId="0" fontId="8" fillId="2" borderId="2" xfId="0" applyFont="1" applyFill="1" applyBorder="1" applyAlignment="1" applyProtection="1">
      <alignment horizontal="center"/>
    </xf>
    <xf numFmtId="0" fontId="6" fillId="2" borderId="15" xfId="0" applyFont="1" applyFill="1" applyBorder="1" applyAlignment="1" applyProtection="1">
      <alignment horizontal="center"/>
    </xf>
    <xf numFmtId="0" fontId="6" fillId="2" borderId="11" xfId="0" applyFont="1" applyFill="1" applyBorder="1" applyAlignment="1" applyProtection="1">
      <alignment horizontal="center"/>
    </xf>
    <xf numFmtId="0" fontId="6" fillId="2" borderId="12" xfId="0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left" vertical="top" wrapText="1"/>
      <protection locked="0"/>
    </xf>
    <xf numFmtId="0" fontId="15" fillId="0" borderId="0" xfId="0" applyFont="1" applyFill="1" applyBorder="1" applyAlignment="1" applyProtection="1">
      <alignment horizontal="justify"/>
    </xf>
    <xf numFmtId="0" fontId="8" fillId="0" borderId="0" xfId="0" applyFont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horizontal="left" vertical="center"/>
    </xf>
    <xf numFmtId="0" fontId="7" fillId="0" borderId="3" xfId="0" applyFont="1" applyFill="1" applyBorder="1" applyAlignment="1" applyProtection="1">
      <alignment horizontal="center" vertical="top" wrapText="1"/>
    </xf>
    <xf numFmtId="0" fontId="7" fillId="0" borderId="1" xfId="0" applyFont="1" applyFill="1" applyBorder="1" applyAlignment="1" applyProtection="1">
      <alignment horizontal="center" vertical="top" wrapText="1"/>
    </xf>
    <xf numFmtId="0" fontId="7" fillId="0" borderId="4" xfId="0" applyFont="1" applyFill="1" applyBorder="1" applyAlignment="1" applyProtection="1">
      <alignment horizontal="center" vertical="top" wrapText="1"/>
    </xf>
    <xf numFmtId="0" fontId="7" fillId="0" borderId="5" xfId="0" applyFont="1" applyFill="1" applyBorder="1" applyAlignment="1" applyProtection="1">
      <alignment horizontal="center" vertical="top" wrapText="1"/>
    </xf>
    <xf numFmtId="0" fontId="7" fillId="0" borderId="0" xfId="0" applyFont="1" applyFill="1" applyBorder="1" applyAlignment="1" applyProtection="1">
      <alignment horizontal="center" vertical="top" wrapText="1"/>
    </xf>
    <xf numFmtId="0" fontId="7" fillId="0" borderId="6" xfId="0" applyFont="1" applyFill="1" applyBorder="1" applyAlignment="1" applyProtection="1">
      <alignment horizontal="center" vertical="top" wrapText="1"/>
    </xf>
    <xf numFmtId="0" fontId="7" fillId="0" borderId="8" xfId="0" applyFont="1" applyFill="1" applyBorder="1" applyAlignment="1" applyProtection="1">
      <alignment horizontal="center" vertical="top" wrapText="1"/>
    </xf>
    <xf numFmtId="0" fontId="7" fillId="0" borderId="2" xfId="0" applyFont="1" applyFill="1" applyBorder="1" applyAlignment="1" applyProtection="1">
      <alignment horizontal="center" vertical="top" wrapText="1"/>
    </xf>
    <xf numFmtId="0" fontId="7" fillId="0" borderId="9" xfId="0" applyFont="1" applyFill="1" applyBorder="1" applyAlignment="1" applyProtection="1">
      <alignment horizontal="center" vertical="top" wrapText="1"/>
    </xf>
  </cellXfs>
  <cellStyles count="3">
    <cellStyle name="Normal" xfId="0" builtinId="0"/>
    <cellStyle name="Normal 2" xfId="2" xr:uid="{00000000-0005-0000-0000-000001000000}"/>
    <cellStyle name="Porcentaje" xfId="1" builtinId="5"/>
  </cellStyles>
  <dxfs count="2">
    <dxf>
      <border>
        <bottom style="thin">
          <color indexed="64"/>
        </bottom>
      </border>
    </dxf>
    <dxf>
      <border>
        <bottom style="thin">
          <color indexed="64"/>
        </bottom>
      </border>
    </dxf>
  </dxfs>
  <tableStyles count="1" defaultTableStyle="TableStyleMedium9" defaultPivotStyle="PivotStyleLight16">
    <tableStyle name="Invisible" pivot="0" table="0" count="0" xr9:uid="{B3D8557B-15CB-4B2C-BF85-69880A0F01C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224117</xdr:colOff>
      <xdr:row>87</xdr:row>
      <xdr:rowOff>112058</xdr:rowOff>
    </xdr:from>
    <xdr:to>
      <xdr:col>36</xdr:col>
      <xdr:colOff>324970</xdr:colOff>
      <xdr:row>103</xdr:row>
      <xdr:rowOff>11206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1777382" y="11654117"/>
          <a:ext cx="5434853" cy="2756648"/>
        </a:xfrm>
        <a:prstGeom prst="rect">
          <a:avLst/>
        </a:prstGeom>
      </xdr:spPr>
    </xdr:pic>
    <xdr:clientData/>
  </xdr:twoCellAnchor>
  <xdr:twoCellAnchor>
    <xdr:from>
      <xdr:col>3</xdr:col>
      <xdr:colOff>240632</xdr:colOff>
      <xdr:row>143</xdr:row>
      <xdr:rowOff>70184</xdr:rowOff>
    </xdr:from>
    <xdr:to>
      <xdr:col>3</xdr:col>
      <xdr:colOff>451184</xdr:colOff>
      <xdr:row>143</xdr:row>
      <xdr:rowOff>260684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032711" y="19471105"/>
          <a:ext cx="210552" cy="1905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240631</xdr:colOff>
      <xdr:row>145</xdr:row>
      <xdr:rowOff>40106</xdr:rowOff>
    </xdr:from>
    <xdr:to>
      <xdr:col>3</xdr:col>
      <xdr:colOff>451183</xdr:colOff>
      <xdr:row>145</xdr:row>
      <xdr:rowOff>230606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1032710" y="20042606"/>
          <a:ext cx="210552" cy="1905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endParaRPr lang="es-CO" sz="1100"/>
        </a:p>
      </xdr:txBody>
    </xdr:sp>
    <xdr:clientData/>
  </xdr:twoCellAnchor>
  <xdr:twoCellAnchor>
    <xdr:from>
      <xdr:col>3</xdr:col>
      <xdr:colOff>252663</xdr:colOff>
      <xdr:row>144</xdr:row>
      <xdr:rowOff>52137</xdr:rowOff>
    </xdr:from>
    <xdr:to>
      <xdr:col>3</xdr:col>
      <xdr:colOff>463215</xdr:colOff>
      <xdr:row>144</xdr:row>
      <xdr:rowOff>242637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1044742" y="19753848"/>
          <a:ext cx="210552" cy="1905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190499</xdr:colOff>
      <xdr:row>10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0" y="0"/>
          <a:ext cx="4762499" cy="228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161094</xdr:rowOff>
    </xdr:from>
    <xdr:to>
      <xdr:col>6</xdr:col>
      <xdr:colOff>123825</xdr:colOff>
      <xdr:row>27</xdr:row>
      <xdr:rowOff>94420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0" y="2815147"/>
          <a:ext cx="4673631" cy="243017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28</xdr:row>
      <xdr:rowOff>123824</xdr:rowOff>
    </xdr:from>
    <xdr:to>
      <xdr:col>6</xdr:col>
      <xdr:colOff>142875</xdr:colOff>
      <xdr:row>39</xdr:row>
      <xdr:rowOff>85725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525" y="4981574"/>
          <a:ext cx="4705350" cy="23907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73"/>
  <sheetViews>
    <sheetView showGridLines="0" tabSelected="1" zoomScaleNormal="100" workbookViewId="0">
      <selection activeCell="B1" sqref="B1:U3"/>
    </sheetView>
  </sheetViews>
  <sheetFormatPr baseColWidth="10" defaultColWidth="5.7109375" defaultRowHeight="12.75" x14ac:dyDescent="0.2"/>
  <cols>
    <col min="1" max="1" width="1" style="1" customWidth="1"/>
    <col min="2" max="2" width="2" style="1" customWidth="1"/>
    <col min="3" max="3" width="8.85546875" style="1" customWidth="1"/>
    <col min="4" max="4" width="9.85546875" style="1" customWidth="1"/>
    <col min="5" max="5" width="14.140625" style="1" customWidth="1"/>
    <col min="6" max="6" width="5" style="1" customWidth="1"/>
    <col min="7" max="7" width="4.42578125" style="1" customWidth="1"/>
    <col min="8" max="8" width="12" style="1" customWidth="1"/>
    <col min="9" max="9" width="13.28515625" style="1" customWidth="1"/>
    <col min="10" max="10" width="8.5703125" style="1" customWidth="1"/>
    <col min="11" max="11" width="24.5703125" style="1" customWidth="1"/>
    <col min="12" max="12" width="10.5703125" style="1" customWidth="1"/>
    <col min="13" max="13" width="11.140625" style="1" customWidth="1"/>
    <col min="14" max="14" width="10.42578125" style="1" customWidth="1"/>
    <col min="15" max="16" width="6.5703125" style="1" customWidth="1"/>
    <col min="17" max="17" width="9.28515625" style="1" customWidth="1"/>
    <col min="18" max="18" width="10.5703125" style="1" customWidth="1"/>
    <col min="19" max="19" width="9" style="1" customWidth="1"/>
    <col min="20" max="20" width="10.85546875" style="1" customWidth="1"/>
    <col min="21" max="21" width="0.85546875" style="1" customWidth="1"/>
    <col min="22" max="22" width="10.28515625" style="11" bestFit="1" customWidth="1"/>
    <col min="23" max="170" width="5.7109375" style="11" customWidth="1"/>
    <col min="171" max="16384" width="5.7109375" style="11"/>
  </cols>
  <sheetData>
    <row r="1" spans="2:22" ht="12.75" customHeight="1" x14ac:dyDescent="0.2">
      <c r="B1" s="246" t="s">
        <v>173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7"/>
      <c r="Q1" s="247"/>
      <c r="R1" s="247"/>
      <c r="S1" s="247"/>
      <c r="T1" s="247"/>
      <c r="U1" s="248"/>
      <c r="V1" s="77"/>
    </row>
    <row r="2" spans="2:22" ht="12.75" customHeight="1" x14ac:dyDescent="0.2">
      <c r="B2" s="249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</row>
    <row r="3" spans="2:22" ht="12.75" customHeight="1" thickBot="1" x14ac:dyDescent="0.25">
      <c r="B3" s="252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4"/>
    </row>
    <row r="4" spans="2:22" ht="6" customHeight="1" x14ac:dyDescent="0.2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72"/>
      <c r="N4" s="72"/>
      <c r="O4" s="72"/>
      <c r="P4" s="72"/>
      <c r="Q4" s="72"/>
      <c r="R4" s="72"/>
      <c r="S4" s="72"/>
      <c r="T4" s="72"/>
      <c r="U4" s="31"/>
    </row>
    <row r="5" spans="2:22" ht="3.75" customHeight="1" x14ac:dyDescent="0.2">
      <c r="B5" s="2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4"/>
      <c r="V5" s="59"/>
    </row>
    <row r="6" spans="2:22" ht="15.75" customHeight="1" x14ac:dyDescent="0.2">
      <c r="B6" s="300" t="s">
        <v>168</v>
      </c>
      <c r="C6" s="301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  <c r="Q6" s="301"/>
      <c r="R6" s="301"/>
      <c r="S6" s="301"/>
      <c r="T6" s="301"/>
      <c r="U6" s="166"/>
      <c r="V6" s="131"/>
    </row>
    <row r="7" spans="2:22" ht="15.75" customHeight="1" x14ac:dyDescent="0.2">
      <c r="B7" s="32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3"/>
      <c r="V7" s="59"/>
    </row>
    <row r="8" spans="2:22" ht="15.75" customHeight="1" x14ac:dyDescent="0.2">
      <c r="B8" s="32"/>
      <c r="C8" s="31" t="s">
        <v>163</v>
      </c>
      <c r="D8" s="31"/>
      <c r="E8" s="171"/>
      <c r="F8" s="171"/>
      <c r="G8" s="31"/>
      <c r="H8" s="31"/>
      <c r="I8" s="31" t="s">
        <v>164</v>
      </c>
      <c r="J8" s="171"/>
      <c r="K8" s="171"/>
      <c r="L8" s="171"/>
      <c r="M8" s="31"/>
      <c r="N8" s="31" t="s">
        <v>166</v>
      </c>
      <c r="O8" s="31"/>
      <c r="P8" s="171"/>
      <c r="Q8" s="171"/>
      <c r="R8" s="171"/>
      <c r="S8" s="171"/>
      <c r="T8" s="31"/>
      <c r="U8" s="33"/>
    </row>
    <row r="9" spans="2:22" ht="21.75" customHeight="1" x14ac:dyDescent="0.2">
      <c r="B9" s="32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3"/>
    </row>
    <row r="10" spans="2:22" ht="15.75" customHeight="1" x14ac:dyDescent="0.2">
      <c r="B10" s="32"/>
      <c r="C10" s="31" t="s">
        <v>165</v>
      </c>
      <c r="D10" s="31"/>
      <c r="E10" s="31"/>
      <c r="F10" s="171"/>
      <c r="G10" s="171"/>
      <c r="H10" s="171"/>
      <c r="I10" s="171"/>
      <c r="J10" s="11"/>
      <c r="K10" s="36" t="s">
        <v>167</v>
      </c>
      <c r="L10" s="172"/>
      <c r="M10" s="172"/>
      <c r="N10" s="31"/>
      <c r="O10" s="173" t="s">
        <v>169</v>
      </c>
      <c r="P10" s="173"/>
      <c r="Q10" s="171"/>
      <c r="R10" s="171"/>
      <c r="S10" s="171"/>
      <c r="T10" s="31"/>
      <c r="U10" s="33"/>
    </row>
    <row r="11" spans="2:22" ht="15.75" customHeight="1" x14ac:dyDescent="0.2">
      <c r="B11" s="32"/>
      <c r="C11" s="31"/>
      <c r="D11" s="31"/>
      <c r="E11" s="31"/>
      <c r="F11" s="36"/>
      <c r="G11" s="36"/>
      <c r="H11" s="36"/>
      <c r="I11" s="36"/>
      <c r="J11" s="36"/>
      <c r="K11" s="165"/>
      <c r="L11" s="31"/>
      <c r="M11" s="31"/>
      <c r="N11" s="36"/>
      <c r="O11" s="36"/>
      <c r="P11" s="36"/>
      <c r="Q11" s="36"/>
      <c r="R11" s="36"/>
      <c r="S11" s="36"/>
      <c r="T11" s="31"/>
      <c r="U11" s="33"/>
    </row>
    <row r="12" spans="2:22" ht="15.75" customHeight="1" x14ac:dyDescent="0.2">
      <c r="B12" s="32"/>
      <c r="C12" s="31" t="s">
        <v>170</v>
      </c>
      <c r="D12" s="31"/>
      <c r="E12" s="171"/>
      <c r="F12" s="171"/>
      <c r="G12" s="171"/>
      <c r="H12" s="36"/>
      <c r="I12" s="173" t="s">
        <v>171</v>
      </c>
      <c r="J12" s="173"/>
      <c r="K12" s="170"/>
      <c r="L12" s="31"/>
      <c r="M12" s="31"/>
      <c r="N12" s="36"/>
      <c r="O12" s="36"/>
      <c r="P12" s="36"/>
      <c r="Q12" s="36"/>
      <c r="R12" s="36"/>
      <c r="S12" s="36"/>
      <c r="T12" s="31"/>
      <c r="U12" s="33"/>
    </row>
    <row r="13" spans="2:22" ht="18.75" customHeight="1" x14ac:dyDescent="0.2">
      <c r="B13" s="34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35"/>
    </row>
    <row r="16" spans="2:22" x14ac:dyDescent="0.2">
      <c r="B16" s="302" t="s">
        <v>147</v>
      </c>
      <c r="C16" s="303"/>
      <c r="D16" s="303"/>
      <c r="E16" s="303"/>
      <c r="F16" s="303"/>
      <c r="G16" s="303"/>
      <c r="H16" s="303"/>
      <c r="I16" s="303"/>
      <c r="J16" s="303"/>
      <c r="K16" s="303"/>
      <c r="L16" s="303"/>
      <c r="M16" s="303"/>
      <c r="N16" s="303"/>
      <c r="O16" s="303"/>
      <c r="P16" s="303"/>
      <c r="Q16" s="303"/>
      <c r="R16" s="303"/>
      <c r="S16" s="303"/>
      <c r="T16" s="303"/>
      <c r="U16" s="304"/>
    </row>
    <row r="17" spans="2:21" ht="8.25" customHeight="1" x14ac:dyDescent="0.2">
      <c r="B17" s="32"/>
      <c r="C17" s="307"/>
      <c r="D17" s="307"/>
      <c r="E17" s="307"/>
      <c r="F17" s="307"/>
      <c r="G17" s="307"/>
      <c r="H17" s="307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3"/>
    </row>
    <row r="18" spans="2:21" hidden="1" x14ac:dyDescent="0.2">
      <c r="B18" s="32"/>
      <c r="C18" s="305" t="s">
        <v>31</v>
      </c>
      <c r="D18" s="305"/>
      <c r="E18" s="305"/>
      <c r="F18" s="305"/>
      <c r="G18" s="305"/>
      <c r="H18" s="305"/>
      <c r="I18" s="305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3"/>
    </row>
    <row r="19" spans="2:21" ht="12.75" hidden="1" customHeight="1" x14ac:dyDescent="0.2">
      <c r="B19" s="32"/>
      <c r="C19" s="306"/>
      <c r="D19" s="306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6"/>
      <c r="P19" s="306"/>
      <c r="Q19" s="306"/>
      <c r="R19" s="306"/>
      <c r="S19" s="306"/>
      <c r="T19" s="306"/>
      <c r="U19" s="33"/>
    </row>
    <row r="20" spans="2:21" hidden="1" x14ac:dyDescent="0.2">
      <c r="B20" s="32"/>
      <c r="C20" s="306"/>
      <c r="D20" s="306"/>
      <c r="E20" s="306"/>
      <c r="F20" s="306"/>
      <c r="G20" s="306"/>
      <c r="H20" s="306"/>
      <c r="I20" s="306"/>
      <c r="J20" s="306"/>
      <c r="K20" s="306"/>
      <c r="L20" s="306"/>
      <c r="M20" s="306"/>
      <c r="N20" s="306"/>
      <c r="O20" s="306"/>
      <c r="P20" s="306"/>
      <c r="Q20" s="306"/>
      <c r="R20" s="306"/>
      <c r="S20" s="306"/>
      <c r="T20" s="306"/>
      <c r="U20" s="33"/>
    </row>
    <row r="21" spans="2:21" hidden="1" x14ac:dyDescent="0.2">
      <c r="B21" s="32"/>
      <c r="C21" s="306"/>
      <c r="D21" s="306"/>
      <c r="E21" s="306"/>
      <c r="F21" s="306"/>
      <c r="G21" s="306"/>
      <c r="H21" s="306"/>
      <c r="I21" s="306"/>
      <c r="J21" s="306"/>
      <c r="K21" s="306"/>
      <c r="L21" s="306"/>
      <c r="M21" s="306"/>
      <c r="N21" s="306"/>
      <c r="O21" s="306"/>
      <c r="P21" s="306"/>
      <c r="Q21" s="306"/>
      <c r="R21" s="306"/>
      <c r="S21" s="306"/>
      <c r="T21" s="306"/>
      <c r="U21" s="33"/>
    </row>
    <row r="22" spans="2:21" x14ac:dyDescent="0.2">
      <c r="B22" s="32"/>
      <c r="C22" s="305" t="s">
        <v>32</v>
      </c>
      <c r="D22" s="305"/>
      <c r="E22" s="305"/>
      <c r="F22" s="305"/>
      <c r="G22" s="305"/>
      <c r="H22" s="305"/>
      <c r="I22" s="305"/>
      <c r="J22" s="29"/>
      <c r="K22" s="29"/>
      <c r="L22" s="37"/>
      <c r="M22" s="37"/>
      <c r="N22" s="37"/>
      <c r="O22" s="37"/>
      <c r="P22" s="37"/>
      <c r="Q22" s="37"/>
      <c r="R22" s="37"/>
      <c r="S22" s="37"/>
      <c r="T22" s="37"/>
      <c r="U22" s="33"/>
    </row>
    <row r="23" spans="2:21" x14ac:dyDescent="0.2">
      <c r="B23" s="163"/>
      <c r="C23" s="310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2"/>
      <c r="U23" s="164"/>
    </row>
    <row r="24" spans="2:21" x14ac:dyDescent="0.2">
      <c r="B24" s="163"/>
      <c r="C24" s="313"/>
      <c r="D24" s="314"/>
      <c r="E24" s="314"/>
      <c r="F24" s="314"/>
      <c r="G24" s="314"/>
      <c r="H24" s="314"/>
      <c r="I24" s="314"/>
      <c r="J24" s="314"/>
      <c r="K24" s="314"/>
      <c r="L24" s="314"/>
      <c r="M24" s="314"/>
      <c r="N24" s="314"/>
      <c r="O24" s="314"/>
      <c r="P24" s="314"/>
      <c r="Q24" s="314"/>
      <c r="R24" s="314"/>
      <c r="S24" s="314"/>
      <c r="T24" s="315"/>
      <c r="U24" s="164"/>
    </row>
    <row r="25" spans="2:21" x14ac:dyDescent="0.2">
      <c r="B25" s="163"/>
      <c r="C25" s="313"/>
      <c r="D25" s="314"/>
      <c r="E25" s="314"/>
      <c r="F25" s="314"/>
      <c r="G25" s="314"/>
      <c r="H25" s="314"/>
      <c r="I25" s="314"/>
      <c r="J25" s="314"/>
      <c r="K25" s="314"/>
      <c r="L25" s="314"/>
      <c r="M25" s="314"/>
      <c r="N25" s="314"/>
      <c r="O25" s="314"/>
      <c r="P25" s="314"/>
      <c r="Q25" s="314"/>
      <c r="R25" s="314"/>
      <c r="S25" s="314"/>
      <c r="T25" s="315"/>
      <c r="U25" s="164"/>
    </row>
    <row r="26" spans="2:21" x14ac:dyDescent="0.2">
      <c r="B26" s="163"/>
      <c r="C26" s="313"/>
      <c r="D26" s="314"/>
      <c r="E26" s="314"/>
      <c r="F26" s="314"/>
      <c r="G26" s="314"/>
      <c r="H26" s="314"/>
      <c r="I26" s="314"/>
      <c r="J26" s="314"/>
      <c r="K26" s="314"/>
      <c r="L26" s="314"/>
      <c r="M26" s="314"/>
      <c r="N26" s="314"/>
      <c r="O26" s="314"/>
      <c r="P26" s="314"/>
      <c r="Q26" s="314"/>
      <c r="R26" s="314"/>
      <c r="S26" s="314"/>
      <c r="T26" s="315"/>
      <c r="U26" s="164"/>
    </row>
    <row r="27" spans="2:21" x14ac:dyDescent="0.2">
      <c r="B27" s="163"/>
      <c r="C27" s="316"/>
      <c r="D27" s="317"/>
      <c r="E27" s="317"/>
      <c r="F27" s="317"/>
      <c r="G27" s="317"/>
      <c r="H27" s="317"/>
      <c r="I27" s="317"/>
      <c r="J27" s="317"/>
      <c r="K27" s="317"/>
      <c r="L27" s="317"/>
      <c r="M27" s="317"/>
      <c r="N27" s="317"/>
      <c r="O27" s="317"/>
      <c r="P27" s="317"/>
      <c r="Q27" s="317"/>
      <c r="R27" s="317"/>
      <c r="S27" s="317"/>
      <c r="T27" s="318"/>
      <c r="U27" s="164"/>
    </row>
    <row r="28" spans="2:21" ht="12.75" customHeight="1" x14ac:dyDescent="0.2">
      <c r="B28" s="163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164"/>
    </row>
    <row r="29" spans="2:21" x14ac:dyDescent="0.2">
      <c r="B29" s="32"/>
      <c r="C29" s="309" t="s">
        <v>33</v>
      </c>
      <c r="D29" s="309"/>
      <c r="E29" s="309"/>
      <c r="F29" s="309"/>
      <c r="G29" s="30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33"/>
    </row>
    <row r="30" spans="2:21" ht="20.25" customHeight="1" x14ac:dyDescent="0.2">
      <c r="B30" s="32"/>
      <c r="C30" s="190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2"/>
    </row>
    <row r="31" spans="2:21" ht="15.75" customHeight="1" x14ac:dyDescent="0.2">
      <c r="B31" s="32"/>
      <c r="C31" s="193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5"/>
    </row>
    <row r="32" spans="2:21" ht="17.25" customHeight="1" x14ac:dyDescent="0.2">
      <c r="B32" s="32"/>
      <c r="C32" s="193"/>
      <c r="D32" s="194"/>
      <c r="E32" s="194"/>
      <c r="F32" s="194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5"/>
    </row>
    <row r="33" spans="1:26" ht="17.25" customHeight="1" x14ac:dyDescent="0.2">
      <c r="B33" s="32"/>
      <c r="C33" s="193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5"/>
    </row>
    <row r="34" spans="1:26" ht="20.25" customHeight="1" x14ac:dyDescent="0.2">
      <c r="B34" s="32"/>
      <c r="C34" s="193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5"/>
    </row>
    <row r="35" spans="1:26" ht="34.5" customHeight="1" x14ac:dyDescent="0.2">
      <c r="B35" s="32"/>
      <c r="C35" s="196"/>
      <c r="D35" s="197"/>
      <c r="E35" s="197"/>
      <c r="F35" s="197"/>
      <c r="G35" s="197"/>
      <c r="H35" s="197"/>
      <c r="I35" s="197"/>
      <c r="J35" s="197"/>
      <c r="K35" s="197"/>
      <c r="L35" s="197"/>
      <c r="M35" s="197"/>
      <c r="N35" s="197"/>
      <c r="O35" s="197"/>
      <c r="P35" s="197"/>
      <c r="Q35" s="197"/>
      <c r="R35" s="197"/>
      <c r="S35" s="197"/>
      <c r="T35" s="197"/>
      <c r="U35" s="198"/>
      <c r="X35" s="38"/>
      <c r="Y35" s="38"/>
      <c r="Z35" s="38"/>
    </row>
    <row r="36" spans="1:26" s="38" customFormat="1" x14ac:dyDescent="0.2">
      <c r="A36" s="1"/>
      <c r="B36" s="32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33"/>
      <c r="V36" s="11"/>
      <c r="W36" s="11"/>
    </row>
    <row r="37" spans="1:26" ht="8.25" customHeight="1" x14ac:dyDescent="0.2"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4"/>
    </row>
    <row r="38" spans="1:26" x14ac:dyDescent="0.2">
      <c r="B38" s="263" t="s">
        <v>104</v>
      </c>
      <c r="C38" s="264"/>
      <c r="D38" s="264"/>
      <c r="E38" s="264"/>
      <c r="F38" s="264"/>
      <c r="G38" s="264"/>
      <c r="H38" s="264"/>
      <c r="I38" s="264"/>
      <c r="J38" s="264"/>
      <c r="K38" s="264"/>
      <c r="L38" s="264"/>
      <c r="M38" s="264"/>
      <c r="N38" s="264"/>
      <c r="O38" s="264"/>
      <c r="P38" s="264"/>
      <c r="Q38" s="264"/>
      <c r="R38" s="264"/>
      <c r="S38" s="264"/>
      <c r="T38" s="264"/>
      <c r="U38" s="265"/>
    </row>
    <row r="39" spans="1:26" ht="8.25" customHeight="1" x14ac:dyDescent="0.2">
      <c r="B39" s="32"/>
      <c r="C39" s="65"/>
      <c r="D39" s="39"/>
      <c r="E39" s="39"/>
      <c r="F39" s="39"/>
      <c r="G39" s="39"/>
      <c r="H39" s="39"/>
      <c r="I39" s="39"/>
      <c r="J39" s="21"/>
      <c r="K39" s="21"/>
      <c r="L39" s="21"/>
      <c r="M39" s="39"/>
      <c r="N39" s="39"/>
      <c r="O39" s="39"/>
      <c r="P39" s="21"/>
      <c r="Q39" s="21"/>
      <c r="R39" s="39"/>
      <c r="S39" s="39"/>
      <c r="T39" s="39"/>
      <c r="U39" s="33"/>
    </row>
    <row r="40" spans="1:26" ht="12.75" customHeight="1" x14ac:dyDescent="0.2">
      <c r="B40" s="32"/>
      <c r="C40" s="222" t="s">
        <v>34</v>
      </c>
      <c r="D40" s="222"/>
      <c r="E40" s="39"/>
      <c r="F40" s="39"/>
      <c r="G40" s="39"/>
      <c r="H40" s="39"/>
      <c r="I40" s="308" t="s">
        <v>15</v>
      </c>
      <c r="J40" s="21"/>
      <c r="K40" s="21"/>
      <c r="L40" s="21"/>
      <c r="M40" s="39"/>
      <c r="N40" s="308" t="s">
        <v>6</v>
      </c>
      <c r="O40" s="308"/>
      <c r="P40" s="21"/>
      <c r="Q40" s="21"/>
      <c r="R40" s="39"/>
      <c r="S40" s="39"/>
      <c r="T40" s="39"/>
      <c r="U40" s="33"/>
    </row>
    <row r="41" spans="1:26" ht="8.25" customHeight="1" x14ac:dyDescent="0.2">
      <c r="B41" s="32"/>
      <c r="C41" s="65"/>
      <c r="D41" s="39"/>
      <c r="E41" s="39"/>
      <c r="F41" s="39"/>
      <c r="G41" s="39"/>
      <c r="H41" s="39"/>
      <c r="I41" s="308"/>
      <c r="J41" s="21"/>
      <c r="K41" s="21"/>
      <c r="L41" s="67"/>
      <c r="M41" s="21"/>
      <c r="N41" s="308"/>
      <c r="O41" s="308"/>
      <c r="P41" s="21"/>
      <c r="Q41" s="21"/>
      <c r="R41" s="21"/>
      <c r="S41" s="21"/>
      <c r="T41" s="21"/>
      <c r="U41" s="33"/>
    </row>
    <row r="42" spans="1:26" x14ac:dyDescent="0.2">
      <c r="B42" s="32"/>
      <c r="C42" s="65" t="s">
        <v>10</v>
      </c>
      <c r="D42" s="273"/>
      <c r="E42" s="273"/>
      <c r="F42" s="273"/>
      <c r="G42" s="273"/>
      <c r="H42" s="273"/>
      <c r="I42" s="308"/>
      <c r="J42" s="272"/>
      <c r="K42" s="272"/>
      <c r="L42" s="272"/>
      <c r="M42" s="272"/>
      <c r="N42" s="308"/>
      <c r="O42" s="308"/>
      <c r="P42" s="272"/>
      <c r="Q42" s="272"/>
      <c r="R42" s="272"/>
      <c r="S42" s="272"/>
      <c r="T42" s="272"/>
      <c r="U42" s="33"/>
    </row>
    <row r="43" spans="1:26" ht="8.25" customHeight="1" x14ac:dyDescent="0.2">
      <c r="B43" s="32"/>
      <c r="C43" s="65"/>
      <c r="D43" s="39"/>
      <c r="E43" s="39"/>
      <c r="F43" s="39"/>
      <c r="G43" s="39"/>
      <c r="H43" s="39"/>
      <c r="I43" s="308"/>
      <c r="J43" s="21"/>
      <c r="K43" s="21"/>
      <c r="L43" s="21"/>
      <c r="M43" s="39"/>
      <c r="N43" s="308"/>
      <c r="O43" s="308"/>
      <c r="P43" s="21"/>
      <c r="Q43" s="21"/>
      <c r="R43" s="39"/>
      <c r="S43" s="39"/>
      <c r="T43" s="39"/>
      <c r="U43" s="33"/>
    </row>
    <row r="44" spans="1:26" ht="12.75" customHeight="1" x14ac:dyDescent="0.2">
      <c r="B44" s="32"/>
      <c r="C44" s="222" t="s">
        <v>35</v>
      </c>
      <c r="D44" s="222"/>
      <c r="E44" s="222"/>
      <c r="F44" s="39"/>
      <c r="G44" s="39"/>
      <c r="H44" s="39"/>
      <c r="I44" s="308"/>
      <c r="J44" s="21"/>
      <c r="K44" s="21"/>
      <c r="L44" s="21"/>
      <c r="M44" s="39"/>
      <c r="N44" s="308"/>
      <c r="O44" s="308"/>
      <c r="P44" s="21"/>
      <c r="Q44" s="21"/>
      <c r="R44" s="39"/>
      <c r="S44" s="39"/>
      <c r="T44" s="39"/>
      <c r="U44" s="33"/>
    </row>
    <row r="45" spans="1:26" ht="8.25" customHeight="1" x14ac:dyDescent="0.2">
      <c r="B45" s="32"/>
      <c r="C45" s="65"/>
      <c r="D45" s="39"/>
      <c r="E45" s="39"/>
      <c r="F45" s="39"/>
      <c r="G45" s="39"/>
      <c r="H45" s="39"/>
      <c r="I45" s="308"/>
      <c r="J45" s="21"/>
      <c r="K45" s="21"/>
      <c r="L45" s="21"/>
      <c r="M45" s="39"/>
      <c r="N45" s="308"/>
      <c r="O45" s="308"/>
      <c r="P45" s="21"/>
      <c r="Q45" s="21"/>
      <c r="R45" s="39"/>
      <c r="S45" s="39"/>
      <c r="T45" s="39"/>
      <c r="U45" s="33"/>
    </row>
    <row r="46" spans="1:26" ht="12" customHeight="1" x14ac:dyDescent="0.2">
      <c r="B46" s="32"/>
      <c r="C46" s="65" t="s">
        <v>10</v>
      </c>
      <c r="D46" s="273"/>
      <c r="E46" s="273"/>
      <c r="F46" s="273"/>
      <c r="G46" s="273"/>
      <c r="H46" s="273"/>
      <c r="I46" s="308"/>
      <c r="J46" s="272"/>
      <c r="K46" s="272"/>
      <c r="L46" s="272"/>
      <c r="M46" s="272"/>
      <c r="N46" s="308"/>
      <c r="O46" s="308"/>
      <c r="P46" s="272"/>
      <c r="Q46" s="272"/>
      <c r="R46" s="272"/>
      <c r="S46" s="272"/>
      <c r="T46" s="272"/>
      <c r="U46" s="33"/>
    </row>
    <row r="47" spans="1:26" ht="12" customHeight="1" x14ac:dyDescent="0.2">
      <c r="B47" s="32"/>
      <c r="C47" s="65" t="s">
        <v>11</v>
      </c>
      <c r="D47" s="273"/>
      <c r="E47" s="273"/>
      <c r="F47" s="273"/>
      <c r="G47" s="273"/>
      <c r="H47" s="273"/>
      <c r="I47" s="308"/>
      <c r="J47" s="272"/>
      <c r="K47" s="272"/>
      <c r="L47" s="272"/>
      <c r="M47" s="272"/>
      <c r="N47" s="308"/>
      <c r="O47" s="308"/>
      <c r="P47" s="272"/>
      <c r="Q47" s="272"/>
      <c r="R47" s="272"/>
      <c r="S47" s="272"/>
      <c r="T47" s="272"/>
      <c r="U47" s="33"/>
    </row>
    <row r="48" spans="1:26" ht="12" customHeight="1" x14ac:dyDescent="0.2">
      <c r="B48" s="32"/>
      <c r="C48" s="65" t="s">
        <v>12</v>
      </c>
      <c r="D48" s="273"/>
      <c r="E48" s="273"/>
      <c r="F48" s="273"/>
      <c r="G48" s="273"/>
      <c r="H48" s="273"/>
      <c r="I48" s="308"/>
      <c r="J48" s="272"/>
      <c r="K48" s="272"/>
      <c r="L48" s="272"/>
      <c r="M48" s="272"/>
      <c r="N48" s="308"/>
      <c r="O48" s="308"/>
      <c r="P48" s="272"/>
      <c r="Q48" s="272"/>
      <c r="R48" s="272"/>
      <c r="S48" s="272"/>
      <c r="T48" s="272"/>
      <c r="U48" s="33"/>
    </row>
    <row r="49" spans="2:22" ht="12" customHeight="1" x14ac:dyDescent="0.2">
      <c r="B49" s="32"/>
      <c r="C49" s="65" t="s">
        <v>13</v>
      </c>
      <c r="D49" s="273"/>
      <c r="E49" s="273"/>
      <c r="F49" s="273"/>
      <c r="G49" s="273"/>
      <c r="H49" s="273"/>
      <c r="I49" s="308"/>
      <c r="J49" s="272"/>
      <c r="K49" s="272"/>
      <c r="L49" s="272"/>
      <c r="M49" s="272"/>
      <c r="N49" s="308"/>
      <c r="O49" s="308"/>
      <c r="P49" s="272"/>
      <c r="Q49" s="272"/>
      <c r="R49" s="272"/>
      <c r="S49" s="272"/>
      <c r="T49" s="272"/>
      <c r="U49" s="33"/>
    </row>
    <row r="50" spans="2:22" ht="12" customHeight="1" x14ac:dyDescent="0.2">
      <c r="B50" s="32"/>
      <c r="C50" s="65" t="s">
        <v>14</v>
      </c>
      <c r="D50" s="273"/>
      <c r="E50" s="273"/>
      <c r="F50" s="273"/>
      <c r="G50" s="273"/>
      <c r="H50" s="273"/>
      <c r="I50" s="308"/>
      <c r="J50" s="272"/>
      <c r="K50" s="272"/>
      <c r="L50" s="272"/>
      <c r="M50" s="272"/>
      <c r="N50" s="308"/>
      <c r="O50" s="308"/>
      <c r="P50" s="272"/>
      <c r="Q50" s="272"/>
      <c r="R50" s="272"/>
      <c r="S50" s="272"/>
      <c r="T50" s="272"/>
      <c r="U50" s="33"/>
    </row>
    <row r="51" spans="2:22" ht="12" customHeight="1" x14ac:dyDescent="0.2">
      <c r="B51" s="32"/>
      <c r="C51" s="65" t="s">
        <v>16</v>
      </c>
      <c r="D51" s="273"/>
      <c r="E51" s="273"/>
      <c r="F51" s="273"/>
      <c r="G51" s="273"/>
      <c r="H51" s="273"/>
      <c r="I51" s="308"/>
      <c r="J51" s="272"/>
      <c r="K51" s="272"/>
      <c r="L51" s="272"/>
      <c r="M51" s="272"/>
      <c r="N51" s="308"/>
      <c r="O51" s="308"/>
      <c r="P51" s="272"/>
      <c r="Q51" s="272"/>
      <c r="R51" s="272"/>
      <c r="S51" s="272"/>
      <c r="T51" s="272"/>
      <c r="U51" s="33"/>
    </row>
    <row r="52" spans="2:22" ht="12" customHeight="1" x14ac:dyDescent="0.2">
      <c r="B52" s="34"/>
      <c r="C52" s="27"/>
      <c r="D52" s="22"/>
      <c r="E52" s="22"/>
      <c r="F52" s="22"/>
      <c r="G52" s="22"/>
      <c r="H52" s="22"/>
      <c r="I52" s="22"/>
      <c r="J52" s="64"/>
      <c r="K52" s="64"/>
      <c r="L52" s="64"/>
      <c r="M52" s="22"/>
      <c r="N52" s="22"/>
      <c r="O52" s="22"/>
      <c r="P52" s="27"/>
      <c r="Q52" s="27"/>
      <c r="R52" s="22"/>
      <c r="S52" s="22"/>
      <c r="T52" s="22"/>
      <c r="U52" s="35"/>
    </row>
    <row r="53" spans="2:22" ht="8.25" customHeight="1" x14ac:dyDescent="0.2">
      <c r="B53" s="32"/>
      <c r="C53" s="27"/>
      <c r="D53" s="22"/>
      <c r="E53" s="22"/>
      <c r="F53" s="22"/>
      <c r="G53" s="22"/>
      <c r="H53" s="22"/>
      <c r="I53" s="22"/>
      <c r="J53" s="27"/>
      <c r="K53" s="27"/>
      <c r="L53" s="27"/>
      <c r="M53" s="22"/>
      <c r="N53" s="22"/>
      <c r="O53" s="22"/>
      <c r="P53" s="27"/>
      <c r="Q53" s="27"/>
      <c r="R53" s="22"/>
      <c r="S53" s="22"/>
      <c r="T53" s="22"/>
      <c r="U53" s="33"/>
    </row>
    <row r="54" spans="2:22" ht="23.25" customHeight="1" x14ac:dyDescent="0.2">
      <c r="B54" s="284" t="s">
        <v>41</v>
      </c>
      <c r="C54" s="285"/>
      <c r="D54" s="285"/>
      <c r="E54" s="285"/>
      <c r="F54" s="285"/>
      <c r="G54" s="285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285"/>
      <c r="S54" s="285"/>
      <c r="T54" s="285"/>
      <c r="U54" s="286"/>
    </row>
    <row r="55" spans="2:22" ht="8.25" customHeight="1" x14ac:dyDescent="0.2">
      <c r="B55" s="23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5"/>
      <c r="V55" s="1"/>
    </row>
    <row r="56" spans="2:22" ht="23.25" customHeight="1" x14ac:dyDescent="0.2">
      <c r="B56" s="32"/>
      <c r="C56" s="20"/>
      <c r="D56" s="174" t="s">
        <v>101</v>
      </c>
      <c r="E56" s="175"/>
      <c r="F56" s="175"/>
      <c r="G56" s="175"/>
      <c r="H56" s="175"/>
      <c r="I56" s="175"/>
      <c r="J56" s="176"/>
      <c r="K56" s="168" t="s">
        <v>18</v>
      </c>
      <c r="L56" s="162" t="s">
        <v>88</v>
      </c>
      <c r="M56" s="169" t="s">
        <v>87</v>
      </c>
      <c r="N56" s="169" t="s">
        <v>89</v>
      </c>
      <c r="O56" s="177" t="s">
        <v>90</v>
      </c>
      <c r="P56" s="178"/>
      <c r="Q56" s="178"/>
      <c r="R56" s="178"/>
      <c r="S56" s="179"/>
      <c r="T56" s="178" t="s">
        <v>91</v>
      </c>
      <c r="U56" s="189"/>
    </row>
    <row r="57" spans="2:22" ht="23.25" customHeight="1" x14ac:dyDescent="0.2">
      <c r="B57" s="32"/>
      <c r="C57" s="28">
        <v>1</v>
      </c>
      <c r="D57" s="118"/>
      <c r="E57" s="111"/>
      <c r="F57" s="111"/>
      <c r="G57" s="111"/>
      <c r="H57" s="111"/>
      <c r="I57" s="111"/>
      <c r="J57" s="167"/>
      <c r="K57" s="138"/>
      <c r="L57" s="119"/>
      <c r="M57" s="119"/>
      <c r="N57" s="121"/>
      <c r="O57" s="115"/>
      <c r="P57" s="115"/>
      <c r="Q57" s="115"/>
      <c r="R57" s="31"/>
      <c r="S57" s="123"/>
      <c r="T57" s="124"/>
      <c r="U57" s="33"/>
    </row>
    <row r="58" spans="2:22" ht="23.25" customHeight="1" x14ac:dyDescent="0.2">
      <c r="B58" s="32"/>
      <c r="C58" s="28">
        <v>2</v>
      </c>
      <c r="D58" s="186"/>
      <c r="E58" s="187"/>
      <c r="F58" s="187"/>
      <c r="G58" s="187"/>
      <c r="H58" s="187"/>
      <c r="I58" s="187"/>
      <c r="J58" s="188"/>
      <c r="K58" s="120"/>
      <c r="L58" s="120"/>
      <c r="M58" s="120"/>
      <c r="N58" s="116"/>
      <c r="O58" s="115"/>
      <c r="P58" s="115"/>
      <c r="Q58" s="115"/>
      <c r="R58" s="117"/>
      <c r="S58" s="123"/>
      <c r="T58" s="125"/>
      <c r="U58" s="33"/>
    </row>
    <row r="59" spans="2:22" ht="18.75" customHeight="1" x14ac:dyDescent="0.2">
      <c r="B59" s="32"/>
      <c r="C59" s="28">
        <v>3</v>
      </c>
      <c r="D59" s="186"/>
      <c r="E59" s="187"/>
      <c r="F59" s="187"/>
      <c r="G59" s="187"/>
      <c r="H59" s="187"/>
      <c r="I59" s="187"/>
      <c r="J59" s="188"/>
      <c r="K59" s="120"/>
      <c r="L59" s="120"/>
      <c r="M59" s="120"/>
      <c r="N59" s="116"/>
      <c r="O59" s="115"/>
      <c r="P59" s="115"/>
      <c r="Q59" s="115"/>
      <c r="R59" s="117"/>
      <c r="S59" s="123"/>
      <c r="T59" s="125"/>
      <c r="U59" s="33"/>
    </row>
    <row r="60" spans="2:22" ht="21.75" customHeight="1" x14ac:dyDescent="0.2">
      <c r="B60" s="32"/>
      <c r="C60" s="28">
        <v>4</v>
      </c>
      <c r="D60" s="186"/>
      <c r="E60" s="187"/>
      <c r="F60" s="187"/>
      <c r="G60" s="187"/>
      <c r="H60" s="187"/>
      <c r="I60" s="187"/>
      <c r="J60" s="188"/>
      <c r="K60" s="120"/>
      <c r="L60" s="120"/>
      <c r="M60" s="120"/>
      <c r="N60" s="116"/>
      <c r="O60" s="115"/>
      <c r="P60" s="115"/>
      <c r="Q60" s="115"/>
      <c r="R60" s="117"/>
      <c r="S60" s="123"/>
      <c r="T60" s="125"/>
      <c r="U60" s="33"/>
    </row>
    <row r="61" spans="2:22" ht="20.25" customHeight="1" x14ac:dyDescent="0.2">
      <c r="B61" s="32"/>
      <c r="C61" s="28">
        <v>5</v>
      </c>
      <c r="D61" s="186"/>
      <c r="E61" s="187"/>
      <c r="F61" s="187"/>
      <c r="G61" s="187"/>
      <c r="H61" s="187"/>
      <c r="I61" s="187"/>
      <c r="J61" s="188"/>
      <c r="K61" s="120"/>
      <c r="L61" s="120"/>
      <c r="M61" s="120"/>
      <c r="N61" s="116"/>
      <c r="O61" s="115"/>
      <c r="P61" s="115"/>
      <c r="Q61" s="115"/>
      <c r="R61" s="117"/>
      <c r="S61" s="123"/>
      <c r="T61" s="125"/>
      <c r="U61" s="33"/>
    </row>
    <row r="62" spans="2:22" ht="22.5" customHeight="1" x14ac:dyDescent="0.2">
      <c r="B62" s="32"/>
      <c r="C62" s="28">
        <v>6</v>
      </c>
      <c r="D62" s="199"/>
      <c r="E62" s="200"/>
      <c r="F62" s="200"/>
      <c r="G62" s="200"/>
      <c r="H62" s="200"/>
      <c r="I62" s="200"/>
      <c r="J62" s="201"/>
      <c r="K62" s="120"/>
      <c r="L62" s="120"/>
      <c r="M62" s="120"/>
      <c r="N62" s="116"/>
      <c r="O62" s="115"/>
      <c r="P62" s="115"/>
      <c r="Q62" s="115"/>
      <c r="R62" s="117"/>
      <c r="S62" s="123"/>
      <c r="T62" s="125"/>
      <c r="U62" s="33"/>
    </row>
    <row r="63" spans="2:22" ht="8.25" customHeight="1" x14ac:dyDescent="0.2">
      <c r="B63" s="34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35"/>
    </row>
    <row r="64" spans="2:22" ht="8.25" customHeight="1" x14ac:dyDescent="0.2">
      <c r="B64" s="34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35"/>
    </row>
    <row r="65" spans="2:21" ht="13.5" customHeight="1" x14ac:dyDescent="0.2">
      <c r="B65" s="263" t="s">
        <v>37</v>
      </c>
      <c r="C65" s="264"/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264"/>
      <c r="Q65" s="264"/>
      <c r="R65" s="264"/>
      <c r="S65" s="264"/>
      <c r="T65" s="264"/>
      <c r="U65" s="265"/>
    </row>
    <row r="66" spans="2:21" ht="8.25" customHeight="1" x14ac:dyDescent="0.2">
      <c r="B66" s="2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4"/>
    </row>
    <row r="67" spans="2:21" ht="13.5" customHeight="1" x14ac:dyDescent="0.2">
      <c r="B67" s="5"/>
      <c r="C67" s="274" t="s">
        <v>160</v>
      </c>
      <c r="D67" s="274"/>
      <c r="E67" s="274"/>
      <c r="F67" s="274"/>
      <c r="G67" s="274"/>
      <c r="H67" s="274"/>
      <c r="I67" s="274"/>
      <c r="J67" s="274"/>
      <c r="K67" s="274"/>
      <c r="L67" s="274"/>
      <c r="M67" s="274"/>
      <c r="N67" s="274"/>
      <c r="O67" s="274"/>
      <c r="P67" s="274"/>
      <c r="Q67" s="274"/>
      <c r="R67" s="274"/>
      <c r="S67" s="274"/>
      <c r="T67" s="274"/>
      <c r="U67" s="6"/>
    </row>
    <row r="68" spans="2:21" ht="13.5" customHeight="1" x14ac:dyDescent="0.2">
      <c r="B68" s="5"/>
      <c r="C68" s="239"/>
      <c r="D68" s="239"/>
      <c r="E68" s="7"/>
      <c r="F68" s="7"/>
      <c r="G68" s="7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6"/>
    </row>
    <row r="69" spans="2:21" ht="13.5" customHeight="1" x14ac:dyDescent="0.2">
      <c r="B69" s="5"/>
      <c r="C69" s="9" t="s">
        <v>21</v>
      </c>
      <c r="D69" s="8"/>
      <c r="E69" s="8"/>
      <c r="F69" s="8"/>
      <c r="G69" s="8"/>
      <c r="H69" s="8"/>
      <c r="I69" s="10"/>
      <c r="J69" s="8"/>
      <c r="K69" s="9" t="s">
        <v>23</v>
      </c>
      <c r="L69" s="9"/>
      <c r="M69" s="11"/>
      <c r="N69" s="8"/>
      <c r="O69" s="8"/>
      <c r="P69" s="8"/>
      <c r="Q69" s="8"/>
      <c r="R69" s="8"/>
      <c r="S69" s="10"/>
      <c r="T69" s="8"/>
      <c r="U69" s="6"/>
    </row>
    <row r="70" spans="2:21" ht="13.5" customHeight="1" x14ac:dyDescent="0.2">
      <c r="B70" s="5"/>
      <c r="C70" s="11"/>
      <c r="D70" s="11"/>
      <c r="E70" s="11"/>
      <c r="F70" s="11"/>
      <c r="G70" s="8"/>
      <c r="H70" s="8"/>
      <c r="I70" s="8"/>
      <c r="J70" s="8"/>
      <c r="K70" s="282" t="s">
        <v>24</v>
      </c>
      <c r="L70" s="282"/>
      <c r="M70" s="282"/>
      <c r="N70" s="282"/>
      <c r="O70" s="282"/>
      <c r="P70" s="282"/>
      <c r="Q70" s="282"/>
      <c r="R70" s="282"/>
      <c r="S70" s="8"/>
      <c r="T70" s="8"/>
      <c r="U70" s="6"/>
    </row>
    <row r="71" spans="2:21" ht="13.5" customHeight="1" x14ac:dyDescent="0.2">
      <c r="B71" s="5"/>
      <c r="C71" s="281" t="s">
        <v>22</v>
      </c>
      <c r="D71" s="281"/>
      <c r="E71" s="281"/>
      <c r="F71" s="281"/>
      <c r="G71" s="8"/>
      <c r="H71" s="8"/>
      <c r="I71" s="10"/>
      <c r="J71" s="8"/>
      <c r="K71" s="282"/>
      <c r="L71" s="282"/>
      <c r="M71" s="282"/>
      <c r="N71" s="282"/>
      <c r="O71" s="282"/>
      <c r="P71" s="282"/>
      <c r="Q71" s="282"/>
      <c r="R71" s="282"/>
      <c r="S71" s="10"/>
      <c r="T71" s="8"/>
      <c r="U71" s="6"/>
    </row>
    <row r="72" spans="2:21" ht="13.5" customHeight="1" x14ac:dyDescent="0.2">
      <c r="B72" s="5"/>
      <c r="C72" s="11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29"/>
      <c r="P72" s="8"/>
      <c r="Q72" s="8"/>
      <c r="R72" s="8"/>
      <c r="S72" s="8"/>
      <c r="T72" s="8"/>
      <c r="U72" s="6"/>
    </row>
    <row r="73" spans="2:21" ht="27" customHeight="1" x14ac:dyDescent="0.2">
      <c r="B73" s="278" t="s">
        <v>25</v>
      </c>
      <c r="C73" s="279"/>
      <c r="D73" s="279"/>
      <c r="E73" s="279"/>
      <c r="F73" s="279"/>
      <c r="G73" s="279"/>
      <c r="H73" s="279"/>
      <c r="I73" s="279"/>
      <c r="J73" s="279"/>
      <c r="K73" s="279"/>
      <c r="L73" s="279"/>
      <c r="M73" s="279"/>
      <c r="N73" s="279"/>
      <c r="O73" s="279"/>
      <c r="P73" s="279"/>
      <c r="Q73" s="279"/>
      <c r="R73" s="279"/>
      <c r="S73" s="279"/>
      <c r="T73" s="279"/>
      <c r="U73" s="280"/>
    </row>
    <row r="74" spans="2:21" ht="13.5" customHeight="1" x14ac:dyDescent="0.2">
      <c r="B74" s="275" t="s">
        <v>30</v>
      </c>
      <c r="C74" s="276"/>
      <c r="D74" s="276"/>
      <c r="E74" s="277"/>
      <c r="F74" s="278" t="s">
        <v>4</v>
      </c>
      <c r="G74" s="279"/>
      <c r="H74" s="279"/>
      <c r="I74" s="279"/>
      <c r="J74" s="279"/>
      <c r="K74" s="279"/>
      <c r="L74" s="279"/>
      <c r="M74" s="279"/>
      <c r="N74" s="279"/>
      <c r="O74" s="279"/>
      <c r="P74" s="279"/>
      <c r="Q74" s="279"/>
      <c r="R74" s="71" t="s">
        <v>27</v>
      </c>
      <c r="S74" s="278" t="s">
        <v>5</v>
      </c>
      <c r="T74" s="279"/>
      <c r="U74" s="12"/>
    </row>
    <row r="75" spans="2:21" ht="13.5" customHeight="1" x14ac:dyDescent="0.2">
      <c r="B75" s="255" t="s">
        <v>10</v>
      </c>
      <c r="C75" s="257" t="s">
        <v>74</v>
      </c>
      <c r="D75" s="257"/>
      <c r="E75" s="258"/>
      <c r="F75" s="243" t="str">
        <f>IF(E81="SI","Por qué "&amp;C75,"")</f>
        <v/>
      </c>
      <c r="G75" s="244"/>
      <c r="H75" s="244"/>
      <c r="I75" s="244"/>
      <c r="J75" s="244"/>
      <c r="K75" s="244"/>
      <c r="L75" s="244"/>
      <c r="M75" s="244"/>
      <c r="N75" s="244"/>
      <c r="O75" s="244"/>
      <c r="P75" s="244"/>
      <c r="Q75" s="245"/>
      <c r="R75" s="204"/>
      <c r="S75" s="287" t="str">
        <f>IF(C26="","",C26)</f>
        <v/>
      </c>
      <c r="T75" s="288"/>
      <c r="U75" s="289"/>
    </row>
    <row r="76" spans="2:21" ht="13.5" customHeight="1" x14ac:dyDescent="0.2">
      <c r="B76" s="256"/>
      <c r="C76" s="259"/>
      <c r="D76" s="259"/>
      <c r="E76" s="260"/>
      <c r="F76" s="207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9"/>
      <c r="R76" s="205"/>
      <c r="S76" s="290"/>
      <c r="T76" s="291"/>
      <c r="U76" s="292"/>
    </row>
    <row r="77" spans="2:21" ht="13.5" customHeight="1" x14ac:dyDescent="0.2">
      <c r="B77" s="256"/>
      <c r="C77" s="259"/>
      <c r="D77" s="259"/>
      <c r="E77" s="260"/>
      <c r="F77" s="231" t="str">
        <f>IF(F76="","",IF(AND(F76&lt;&gt;"",R75&lt;&gt;"SI"),TRIM("Por qué "&amp;F76&amp;"?"),""))</f>
        <v/>
      </c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3"/>
      <c r="R77" s="206"/>
      <c r="S77" s="290"/>
      <c r="T77" s="291"/>
      <c r="U77" s="292"/>
    </row>
    <row r="78" spans="2:21" ht="13.5" customHeight="1" x14ac:dyDescent="0.2">
      <c r="B78" s="256"/>
      <c r="C78" s="259"/>
      <c r="D78" s="259"/>
      <c r="E78" s="260"/>
      <c r="F78" s="207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9"/>
      <c r="R78" s="205"/>
      <c r="S78" s="290"/>
      <c r="T78" s="291"/>
      <c r="U78" s="292"/>
    </row>
    <row r="79" spans="2:21" ht="13.5" customHeight="1" x14ac:dyDescent="0.2">
      <c r="B79" s="256"/>
      <c r="C79" s="259"/>
      <c r="D79" s="259"/>
      <c r="E79" s="260"/>
      <c r="F79" s="231" t="str">
        <f>IF(F78="","",IF(AND(F78&lt;&gt;"",R77&lt;&gt;"SI"),TRIM("Por qué "&amp;F78&amp;"?"),""))</f>
        <v/>
      </c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3"/>
      <c r="R79" s="206"/>
      <c r="S79" s="290"/>
      <c r="T79" s="291"/>
      <c r="U79" s="292"/>
    </row>
    <row r="80" spans="2:21" ht="13.5" customHeight="1" x14ac:dyDescent="0.2">
      <c r="B80" s="256"/>
      <c r="C80" s="259"/>
      <c r="D80" s="259"/>
      <c r="E80" s="260"/>
      <c r="F80" s="207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9"/>
      <c r="R80" s="206"/>
      <c r="S80" s="290"/>
      <c r="T80" s="291"/>
      <c r="U80" s="292"/>
    </row>
    <row r="81" spans="2:21" ht="17.25" customHeight="1" x14ac:dyDescent="0.2">
      <c r="B81" s="13"/>
      <c r="C81" s="14"/>
      <c r="D81" s="14"/>
      <c r="E81" s="15" t="s">
        <v>172</v>
      </c>
      <c r="F81" s="210" t="s">
        <v>26</v>
      </c>
      <c r="G81" s="210"/>
      <c r="H81" s="211" t="str">
        <f>IF(F76="","",IF(AND(F76&lt;&gt;"",F78=""),F76,IF(AND(F78&lt;&gt;"",F80=""),F78,F80)))</f>
        <v/>
      </c>
      <c r="I81" s="212"/>
      <c r="J81" s="212"/>
      <c r="K81" s="212"/>
      <c r="L81" s="212"/>
      <c r="M81" s="212"/>
      <c r="N81" s="212"/>
      <c r="O81" s="212"/>
      <c r="P81" s="212"/>
      <c r="Q81" s="212"/>
      <c r="R81" s="213"/>
      <c r="S81" s="290"/>
      <c r="T81" s="291"/>
      <c r="U81" s="292"/>
    </row>
    <row r="82" spans="2:21" ht="13.5" customHeight="1" x14ac:dyDescent="0.2">
      <c r="B82" s="255" t="s">
        <v>11</v>
      </c>
      <c r="C82" s="257" t="s">
        <v>73</v>
      </c>
      <c r="D82" s="257"/>
      <c r="E82" s="258"/>
      <c r="F82" s="243" t="str">
        <f>IF(E88="SI","Por qué "&amp;C82,"")</f>
        <v/>
      </c>
      <c r="G82" s="244"/>
      <c r="H82" s="244"/>
      <c r="I82" s="244"/>
      <c r="J82" s="244"/>
      <c r="K82" s="244"/>
      <c r="L82" s="244"/>
      <c r="M82" s="244"/>
      <c r="N82" s="244"/>
      <c r="O82" s="244"/>
      <c r="P82" s="244"/>
      <c r="Q82" s="245"/>
      <c r="R82" s="204"/>
      <c r="S82" s="290"/>
      <c r="T82" s="291"/>
      <c r="U82" s="292"/>
    </row>
    <row r="83" spans="2:21" ht="13.5" customHeight="1" x14ac:dyDescent="0.2">
      <c r="B83" s="256"/>
      <c r="C83" s="259"/>
      <c r="D83" s="259"/>
      <c r="E83" s="260"/>
      <c r="F83" s="207"/>
      <c r="G83" s="208"/>
      <c r="H83" s="208"/>
      <c r="I83" s="208"/>
      <c r="J83" s="208"/>
      <c r="K83" s="208"/>
      <c r="L83" s="208"/>
      <c r="M83" s="208"/>
      <c r="N83" s="208"/>
      <c r="O83" s="208"/>
      <c r="P83" s="208"/>
      <c r="Q83" s="209"/>
      <c r="R83" s="205"/>
      <c r="S83" s="290"/>
      <c r="T83" s="291"/>
      <c r="U83" s="292"/>
    </row>
    <row r="84" spans="2:21" ht="13.5" customHeight="1" x14ac:dyDescent="0.2">
      <c r="B84" s="256"/>
      <c r="C84" s="259"/>
      <c r="D84" s="259"/>
      <c r="E84" s="260"/>
      <c r="F84" s="231" t="str">
        <f>IF(F83="","",IF(AND(F83&lt;&gt;"",R82&lt;&gt;"SI"),TRIM("Por qué "&amp;F83&amp;"?"),""))</f>
        <v/>
      </c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3"/>
      <c r="R84" s="206"/>
      <c r="S84" s="290"/>
      <c r="T84" s="291"/>
      <c r="U84" s="292"/>
    </row>
    <row r="85" spans="2:21" ht="13.5" customHeight="1" x14ac:dyDescent="0.2">
      <c r="B85" s="256"/>
      <c r="C85" s="259"/>
      <c r="D85" s="259"/>
      <c r="E85" s="260"/>
      <c r="F85" s="207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9"/>
      <c r="R85" s="205"/>
      <c r="S85" s="290"/>
      <c r="T85" s="291"/>
      <c r="U85" s="292"/>
    </row>
    <row r="86" spans="2:21" ht="13.5" customHeight="1" x14ac:dyDescent="0.2">
      <c r="B86" s="256"/>
      <c r="C86" s="259"/>
      <c r="D86" s="259"/>
      <c r="E86" s="260"/>
      <c r="F86" s="231" t="str">
        <f>IF(F85="","",IF(AND(F85&lt;&gt;"",R84&lt;&gt;"SI"),TRIM("Por qué "&amp;F85&amp;"?"),""))</f>
        <v/>
      </c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3"/>
      <c r="R86" s="206"/>
      <c r="S86" s="290"/>
      <c r="T86" s="291"/>
      <c r="U86" s="292"/>
    </row>
    <row r="87" spans="2:21" ht="13.5" customHeight="1" x14ac:dyDescent="0.2">
      <c r="B87" s="256"/>
      <c r="C87" s="259"/>
      <c r="D87" s="259"/>
      <c r="E87" s="260"/>
      <c r="F87" s="207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9"/>
      <c r="R87" s="206"/>
      <c r="S87" s="290"/>
      <c r="T87" s="291"/>
      <c r="U87" s="292"/>
    </row>
    <row r="88" spans="2:21" ht="17.25" customHeight="1" x14ac:dyDescent="0.2">
      <c r="B88" s="13"/>
      <c r="C88" s="14"/>
      <c r="D88" s="14"/>
      <c r="E88" s="15" t="s">
        <v>172</v>
      </c>
      <c r="F88" s="210" t="s">
        <v>26</v>
      </c>
      <c r="G88" s="210"/>
      <c r="H88" s="211" t="str">
        <f>IF(F83="","",IF(AND(F83&lt;&gt;"",F85=""),F83,IF(AND(F85&lt;&gt;"",F87=""),F85,F87)))</f>
        <v/>
      </c>
      <c r="I88" s="212"/>
      <c r="J88" s="212"/>
      <c r="K88" s="212"/>
      <c r="L88" s="212"/>
      <c r="M88" s="212"/>
      <c r="N88" s="212"/>
      <c r="O88" s="212"/>
      <c r="P88" s="212"/>
      <c r="Q88" s="212"/>
      <c r="R88" s="213"/>
      <c r="S88" s="290"/>
      <c r="T88" s="291"/>
      <c r="U88" s="292"/>
    </row>
    <row r="89" spans="2:21" ht="13.5" customHeight="1" x14ac:dyDescent="0.2">
      <c r="B89" s="255" t="s">
        <v>12</v>
      </c>
      <c r="C89" s="257" t="s">
        <v>75</v>
      </c>
      <c r="D89" s="257"/>
      <c r="E89" s="258"/>
      <c r="F89" s="243" t="str">
        <f>IF(E95="SI","Por qué "&amp;C89,"")</f>
        <v/>
      </c>
      <c r="G89" s="244"/>
      <c r="H89" s="244"/>
      <c r="I89" s="244"/>
      <c r="J89" s="244"/>
      <c r="K89" s="244"/>
      <c r="L89" s="244"/>
      <c r="M89" s="244"/>
      <c r="N89" s="244"/>
      <c r="O89" s="244"/>
      <c r="P89" s="244"/>
      <c r="Q89" s="245"/>
      <c r="R89" s="204"/>
      <c r="S89" s="290"/>
      <c r="T89" s="291"/>
      <c r="U89" s="292"/>
    </row>
    <row r="90" spans="2:21" ht="13.5" customHeight="1" x14ac:dyDescent="0.2">
      <c r="B90" s="256"/>
      <c r="C90" s="259"/>
      <c r="D90" s="259"/>
      <c r="E90" s="260"/>
      <c r="F90" s="207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9"/>
      <c r="R90" s="205"/>
      <c r="S90" s="290"/>
      <c r="T90" s="291"/>
      <c r="U90" s="292"/>
    </row>
    <row r="91" spans="2:21" ht="13.5" customHeight="1" x14ac:dyDescent="0.2">
      <c r="B91" s="256"/>
      <c r="C91" s="259"/>
      <c r="D91" s="259"/>
      <c r="E91" s="260"/>
      <c r="F91" s="231" t="str">
        <f>IF(F90="","",IF(AND(F90&lt;&gt;"",R89&lt;&gt;"SI"),TRIM("Por qué "&amp;F90&amp;"?"),""))</f>
        <v/>
      </c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3"/>
      <c r="R91" s="206"/>
      <c r="S91" s="290"/>
      <c r="T91" s="291"/>
      <c r="U91" s="292"/>
    </row>
    <row r="92" spans="2:21" ht="13.5" customHeight="1" x14ac:dyDescent="0.2">
      <c r="B92" s="256"/>
      <c r="C92" s="259"/>
      <c r="D92" s="259"/>
      <c r="E92" s="260"/>
      <c r="F92" s="207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9"/>
      <c r="R92" s="205"/>
      <c r="S92" s="290"/>
      <c r="T92" s="291"/>
      <c r="U92" s="292"/>
    </row>
    <row r="93" spans="2:21" ht="13.5" customHeight="1" x14ac:dyDescent="0.2">
      <c r="B93" s="256"/>
      <c r="C93" s="259"/>
      <c r="D93" s="259"/>
      <c r="E93" s="260"/>
      <c r="F93" s="231" t="str">
        <f>IF(F92="","",IF(AND(F92&lt;&gt;"",R91&lt;&gt;"SI"),TRIM("Por qué "&amp;F92&amp;"?"),""))</f>
        <v/>
      </c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3"/>
      <c r="R93" s="206"/>
      <c r="S93" s="290"/>
      <c r="T93" s="291"/>
      <c r="U93" s="292"/>
    </row>
    <row r="94" spans="2:21" ht="13.5" customHeight="1" x14ac:dyDescent="0.2">
      <c r="B94" s="256"/>
      <c r="C94" s="259"/>
      <c r="D94" s="259"/>
      <c r="E94" s="260"/>
      <c r="F94" s="207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9"/>
      <c r="R94" s="206"/>
      <c r="S94" s="290"/>
      <c r="T94" s="291"/>
      <c r="U94" s="292"/>
    </row>
    <row r="95" spans="2:21" ht="17.25" customHeight="1" x14ac:dyDescent="0.2">
      <c r="B95" s="16"/>
      <c r="C95" s="14"/>
      <c r="D95" s="14"/>
      <c r="E95" s="15" t="s">
        <v>172</v>
      </c>
      <c r="F95" s="210" t="s">
        <v>26</v>
      </c>
      <c r="G95" s="210"/>
      <c r="H95" s="211" t="str">
        <f>IF(F90="","",IF(AND(F90&lt;&gt;"",F92=""),F90,IF(AND(F92&lt;&gt;"",F94=""),F92,F94)))</f>
        <v/>
      </c>
      <c r="I95" s="212"/>
      <c r="J95" s="212"/>
      <c r="K95" s="212"/>
      <c r="L95" s="212"/>
      <c r="M95" s="212"/>
      <c r="N95" s="212"/>
      <c r="O95" s="212"/>
      <c r="P95" s="212"/>
      <c r="Q95" s="212"/>
      <c r="R95" s="213"/>
      <c r="S95" s="290"/>
      <c r="T95" s="291"/>
      <c r="U95" s="292"/>
    </row>
    <row r="96" spans="2:21" ht="13.5" customHeight="1" x14ac:dyDescent="0.2">
      <c r="B96" s="255" t="s">
        <v>13</v>
      </c>
      <c r="C96" s="257" t="s">
        <v>28</v>
      </c>
      <c r="D96" s="257"/>
      <c r="E96" s="258"/>
      <c r="F96" s="243" t="str">
        <f>IF(E102="SI","Por qué "&amp;C96,"")</f>
        <v/>
      </c>
      <c r="G96" s="244"/>
      <c r="H96" s="244"/>
      <c r="I96" s="244"/>
      <c r="J96" s="244"/>
      <c r="K96" s="244"/>
      <c r="L96" s="244"/>
      <c r="M96" s="244"/>
      <c r="N96" s="244"/>
      <c r="O96" s="244"/>
      <c r="P96" s="244"/>
      <c r="Q96" s="245"/>
      <c r="R96" s="204"/>
      <c r="S96" s="290"/>
      <c r="T96" s="291"/>
      <c r="U96" s="292"/>
    </row>
    <row r="97" spans="2:21" ht="13.5" customHeight="1" x14ac:dyDescent="0.2">
      <c r="B97" s="256"/>
      <c r="C97" s="259"/>
      <c r="D97" s="259"/>
      <c r="E97" s="260"/>
      <c r="F97" s="207"/>
      <c r="G97" s="208"/>
      <c r="H97" s="208"/>
      <c r="I97" s="208"/>
      <c r="J97" s="208"/>
      <c r="K97" s="208"/>
      <c r="L97" s="208"/>
      <c r="M97" s="208"/>
      <c r="N97" s="208"/>
      <c r="O97" s="208"/>
      <c r="P97" s="208"/>
      <c r="Q97" s="209"/>
      <c r="R97" s="205"/>
      <c r="S97" s="290"/>
      <c r="T97" s="291"/>
      <c r="U97" s="292"/>
    </row>
    <row r="98" spans="2:21" ht="13.5" customHeight="1" x14ac:dyDescent="0.2">
      <c r="B98" s="256"/>
      <c r="C98" s="259"/>
      <c r="D98" s="259"/>
      <c r="E98" s="260"/>
      <c r="F98" s="231" t="str">
        <f>IF(F97="","",IF(AND(F97&lt;&gt;"",R96&lt;&gt;"SI"),TRIM("Por qué "&amp;F97&amp;"?"),""))</f>
        <v/>
      </c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3"/>
      <c r="R98" s="206"/>
      <c r="S98" s="290"/>
      <c r="T98" s="291"/>
      <c r="U98" s="292"/>
    </row>
    <row r="99" spans="2:21" ht="13.5" customHeight="1" x14ac:dyDescent="0.2">
      <c r="B99" s="256"/>
      <c r="C99" s="259"/>
      <c r="D99" s="259"/>
      <c r="E99" s="260"/>
      <c r="F99" s="207"/>
      <c r="G99" s="208"/>
      <c r="H99" s="208"/>
      <c r="I99" s="208"/>
      <c r="J99" s="208"/>
      <c r="K99" s="208"/>
      <c r="L99" s="208"/>
      <c r="M99" s="208"/>
      <c r="N99" s="208"/>
      <c r="O99" s="208"/>
      <c r="P99" s="208"/>
      <c r="Q99" s="209"/>
      <c r="R99" s="205"/>
      <c r="S99" s="290"/>
      <c r="T99" s="291"/>
      <c r="U99" s="292"/>
    </row>
    <row r="100" spans="2:21" ht="13.5" customHeight="1" x14ac:dyDescent="0.2">
      <c r="B100" s="256"/>
      <c r="C100" s="259"/>
      <c r="D100" s="259"/>
      <c r="E100" s="260"/>
      <c r="F100" s="231" t="str">
        <f>IF(F99="","",IF(AND(F99&lt;&gt;"",R98&lt;&gt;"SI"),TRIM("Por qué "&amp;F99&amp;"?"),""))</f>
        <v/>
      </c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3"/>
      <c r="R100" s="206"/>
      <c r="S100" s="290"/>
      <c r="T100" s="291"/>
      <c r="U100" s="292"/>
    </row>
    <row r="101" spans="2:21" ht="13.5" customHeight="1" x14ac:dyDescent="0.2">
      <c r="B101" s="256"/>
      <c r="C101" s="259"/>
      <c r="D101" s="259"/>
      <c r="E101" s="260"/>
      <c r="F101" s="207"/>
      <c r="G101" s="208"/>
      <c r="H101" s="208"/>
      <c r="I101" s="208"/>
      <c r="J101" s="208"/>
      <c r="K101" s="208"/>
      <c r="L101" s="208"/>
      <c r="M101" s="208"/>
      <c r="N101" s="208"/>
      <c r="O101" s="208"/>
      <c r="P101" s="208"/>
      <c r="Q101" s="209"/>
      <c r="R101" s="206"/>
      <c r="S101" s="290"/>
      <c r="T101" s="291"/>
      <c r="U101" s="292"/>
    </row>
    <row r="102" spans="2:21" ht="17.25" customHeight="1" x14ac:dyDescent="0.2">
      <c r="B102" s="16"/>
      <c r="C102" s="14"/>
      <c r="D102" s="14"/>
      <c r="E102" s="15" t="s">
        <v>172</v>
      </c>
      <c r="F102" s="210" t="s">
        <v>26</v>
      </c>
      <c r="G102" s="210"/>
      <c r="H102" s="211"/>
      <c r="I102" s="212"/>
      <c r="J102" s="212"/>
      <c r="K102" s="212"/>
      <c r="L102" s="212"/>
      <c r="M102" s="212"/>
      <c r="N102" s="212"/>
      <c r="O102" s="212"/>
      <c r="P102" s="212"/>
      <c r="Q102" s="212"/>
      <c r="R102" s="213"/>
      <c r="S102" s="290"/>
      <c r="T102" s="291"/>
      <c r="U102" s="292"/>
    </row>
    <row r="103" spans="2:21" ht="13.5" customHeight="1" x14ac:dyDescent="0.2">
      <c r="B103" s="255" t="s">
        <v>14</v>
      </c>
      <c r="C103" s="257" t="s">
        <v>29</v>
      </c>
      <c r="D103" s="257"/>
      <c r="E103" s="258"/>
      <c r="F103" s="243" t="str">
        <f>IF(E109="SI","Por qué "&amp;C103,"")</f>
        <v/>
      </c>
      <c r="G103" s="244"/>
      <c r="H103" s="244"/>
      <c r="I103" s="244"/>
      <c r="J103" s="244"/>
      <c r="K103" s="244"/>
      <c r="L103" s="244"/>
      <c r="M103" s="244"/>
      <c r="N103" s="244"/>
      <c r="O103" s="244"/>
      <c r="P103" s="244"/>
      <c r="Q103" s="245"/>
      <c r="R103" s="204"/>
      <c r="S103" s="290"/>
      <c r="T103" s="291"/>
      <c r="U103" s="292"/>
    </row>
    <row r="104" spans="2:21" x14ac:dyDescent="0.2">
      <c r="B104" s="256"/>
      <c r="C104" s="259"/>
      <c r="D104" s="259"/>
      <c r="E104" s="260"/>
      <c r="F104" s="207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9"/>
      <c r="R104" s="205"/>
      <c r="S104" s="290"/>
      <c r="T104" s="291"/>
      <c r="U104" s="292"/>
    </row>
    <row r="105" spans="2:21" ht="13.5" customHeight="1" x14ac:dyDescent="0.2">
      <c r="B105" s="256"/>
      <c r="C105" s="259"/>
      <c r="D105" s="259"/>
      <c r="E105" s="260"/>
      <c r="F105" s="234"/>
      <c r="G105" s="235"/>
      <c r="H105" s="235"/>
      <c r="I105" s="235"/>
      <c r="J105" s="235"/>
      <c r="K105" s="235"/>
      <c r="L105" s="235"/>
      <c r="M105" s="235"/>
      <c r="N105" s="235"/>
      <c r="O105" s="235"/>
      <c r="P105" s="235"/>
      <c r="Q105" s="236"/>
      <c r="R105" s="206"/>
      <c r="S105" s="290"/>
      <c r="T105" s="291"/>
      <c r="U105" s="292"/>
    </row>
    <row r="106" spans="2:21" ht="13.5" customHeight="1" x14ac:dyDescent="0.2">
      <c r="B106" s="256"/>
      <c r="C106" s="259"/>
      <c r="D106" s="259"/>
      <c r="E106" s="260"/>
      <c r="F106" s="207"/>
      <c r="G106" s="208"/>
      <c r="H106" s="208"/>
      <c r="I106" s="208"/>
      <c r="J106" s="208"/>
      <c r="K106" s="208"/>
      <c r="L106" s="208"/>
      <c r="M106" s="208"/>
      <c r="N106" s="208"/>
      <c r="O106" s="208"/>
      <c r="P106" s="208"/>
      <c r="Q106" s="209"/>
      <c r="R106" s="205"/>
      <c r="S106" s="290"/>
      <c r="T106" s="291"/>
      <c r="U106" s="292"/>
    </row>
    <row r="107" spans="2:21" ht="13.5" customHeight="1" x14ac:dyDescent="0.2">
      <c r="B107" s="256"/>
      <c r="C107" s="259"/>
      <c r="D107" s="259"/>
      <c r="E107" s="260"/>
      <c r="F107" s="231" t="str">
        <f>IF(F106="","",IF(AND(F106&lt;&gt;"",R105&lt;&gt;"SI"),TRIM("Por qué "&amp;F106&amp;"?"),""))</f>
        <v/>
      </c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3"/>
      <c r="R107" s="206"/>
      <c r="S107" s="290"/>
      <c r="T107" s="291"/>
      <c r="U107" s="292"/>
    </row>
    <row r="108" spans="2:21" ht="13.5" customHeight="1" x14ac:dyDescent="0.2">
      <c r="B108" s="256"/>
      <c r="C108" s="259"/>
      <c r="D108" s="259"/>
      <c r="E108" s="260"/>
      <c r="F108" s="207"/>
      <c r="G108" s="208"/>
      <c r="H108" s="208"/>
      <c r="I108" s="208"/>
      <c r="J108" s="208"/>
      <c r="K108" s="208"/>
      <c r="L108" s="208"/>
      <c r="M108" s="208"/>
      <c r="N108" s="208"/>
      <c r="O108" s="208"/>
      <c r="P108" s="208"/>
      <c r="Q108" s="209"/>
      <c r="R108" s="206"/>
      <c r="S108" s="290"/>
      <c r="T108" s="291"/>
      <c r="U108" s="292"/>
    </row>
    <row r="109" spans="2:21" ht="26.25" customHeight="1" x14ac:dyDescent="0.2">
      <c r="B109" s="16"/>
      <c r="C109" s="14"/>
      <c r="D109" s="14"/>
      <c r="E109" s="15" t="s">
        <v>172</v>
      </c>
      <c r="F109" s="210" t="s">
        <v>26</v>
      </c>
      <c r="G109" s="210"/>
      <c r="H109" s="211" t="str">
        <f>IF(F104="","",IF(AND(F104&lt;&gt;"",F106=""),F104,IF(AND(F106&lt;&gt;"",F108=""),F106,F108)))</f>
        <v/>
      </c>
      <c r="I109" s="212"/>
      <c r="J109" s="212"/>
      <c r="K109" s="212"/>
      <c r="L109" s="212"/>
      <c r="M109" s="212"/>
      <c r="N109" s="212"/>
      <c r="O109" s="212"/>
      <c r="P109" s="212"/>
      <c r="Q109" s="212"/>
      <c r="R109" s="213"/>
      <c r="S109" s="290"/>
      <c r="T109" s="291"/>
      <c r="U109" s="292"/>
    </row>
    <row r="110" spans="2:21" ht="13.5" customHeight="1" x14ac:dyDescent="0.2">
      <c r="B110" s="255" t="s">
        <v>16</v>
      </c>
      <c r="C110" s="257" t="s">
        <v>76</v>
      </c>
      <c r="D110" s="257"/>
      <c r="E110" s="258"/>
      <c r="F110" s="243" t="str">
        <f>IF(E116="SI","Por qué "&amp;C110,"")</f>
        <v/>
      </c>
      <c r="G110" s="244"/>
      <c r="H110" s="244"/>
      <c r="I110" s="244"/>
      <c r="J110" s="244"/>
      <c r="K110" s="244"/>
      <c r="L110" s="244"/>
      <c r="M110" s="244"/>
      <c r="N110" s="244"/>
      <c r="O110" s="244"/>
      <c r="P110" s="244"/>
      <c r="Q110" s="245"/>
      <c r="R110" s="204"/>
      <c r="S110" s="290"/>
      <c r="T110" s="291"/>
      <c r="U110" s="292"/>
    </row>
    <row r="111" spans="2:21" ht="13.5" customHeight="1" x14ac:dyDescent="0.2">
      <c r="B111" s="256"/>
      <c r="C111" s="259"/>
      <c r="D111" s="259"/>
      <c r="E111" s="260"/>
      <c r="F111" s="207"/>
      <c r="G111" s="208"/>
      <c r="H111" s="208"/>
      <c r="I111" s="208"/>
      <c r="J111" s="208"/>
      <c r="K111" s="208"/>
      <c r="L111" s="208"/>
      <c r="M111" s="208"/>
      <c r="N111" s="208"/>
      <c r="O111" s="208"/>
      <c r="P111" s="208"/>
      <c r="Q111" s="209"/>
      <c r="R111" s="205"/>
      <c r="S111" s="290"/>
      <c r="T111" s="291"/>
      <c r="U111" s="292"/>
    </row>
    <row r="112" spans="2:21" ht="13.5" customHeight="1" x14ac:dyDescent="0.2">
      <c r="B112" s="256"/>
      <c r="C112" s="259"/>
      <c r="D112" s="259"/>
      <c r="E112" s="260"/>
      <c r="F112" s="231" t="str">
        <f>IF(F111="","",IF(AND(F111&lt;&gt;"",R110&lt;&gt;"SI"),TRIM("Por qué "&amp;F111&amp;"?"),""))</f>
        <v/>
      </c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3"/>
      <c r="R112" s="206"/>
      <c r="S112" s="290"/>
      <c r="T112" s="291"/>
      <c r="U112" s="292"/>
    </row>
    <row r="113" spans="1:22" ht="13.5" customHeight="1" x14ac:dyDescent="0.2">
      <c r="B113" s="256"/>
      <c r="C113" s="259"/>
      <c r="D113" s="259"/>
      <c r="E113" s="260"/>
      <c r="F113" s="207"/>
      <c r="G113" s="208"/>
      <c r="H113" s="208"/>
      <c r="I113" s="208"/>
      <c r="J113" s="208"/>
      <c r="K113" s="208"/>
      <c r="L113" s="208"/>
      <c r="M113" s="208"/>
      <c r="N113" s="208"/>
      <c r="O113" s="208"/>
      <c r="P113" s="208"/>
      <c r="Q113" s="209"/>
      <c r="R113" s="205"/>
      <c r="S113" s="290"/>
      <c r="T113" s="291"/>
      <c r="U113" s="292"/>
    </row>
    <row r="114" spans="1:22" ht="13.5" customHeight="1" x14ac:dyDescent="0.2">
      <c r="B114" s="256"/>
      <c r="C114" s="259"/>
      <c r="D114" s="259"/>
      <c r="E114" s="260"/>
      <c r="F114" s="231" t="str">
        <f>IF(F113="","",IF(AND(F113&lt;&gt;"",R112&lt;&gt;"SI"),TRIM("Por qué "&amp;F113&amp;"?"),""))</f>
        <v/>
      </c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3"/>
      <c r="R114" s="206"/>
      <c r="S114" s="290"/>
      <c r="T114" s="291"/>
      <c r="U114" s="292"/>
    </row>
    <row r="115" spans="1:22" ht="13.5" customHeight="1" x14ac:dyDescent="0.2">
      <c r="B115" s="256"/>
      <c r="C115" s="259"/>
      <c r="D115" s="259"/>
      <c r="E115" s="260"/>
      <c r="F115" s="207"/>
      <c r="G115" s="208"/>
      <c r="H115" s="208"/>
      <c r="I115" s="208"/>
      <c r="J115" s="208"/>
      <c r="K115" s="208"/>
      <c r="L115" s="208"/>
      <c r="M115" s="208"/>
      <c r="N115" s="208"/>
      <c r="O115" s="208"/>
      <c r="P115" s="208"/>
      <c r="Q115" s="209"/>
      <c r="R115" s="206"/>
      <c r="S115" s="290"/>
      <c r="T115" s="291"/>
      <c r="U115" s="292"/>
    </row>
    <row r="116" spans="1:22" ht="17.25" customHeight="1" x14ac:dyDescent="0.2">
      <c r="B116" s="13"/>
      <c r="C116" s="14"/>
      <c r="D116" s="14"/>
      <c r="E116" s="15" t="s">
        <v>1</v>
      </c>
      <c r="F116" s="210" t="s">
        <v>26</v>
      </c>
      <c r="G116" s="210"/>
      <c r="H116" s="211" t="str">
        <f>IF(F111="","",IF(AND(F111&lt;&gt;"",F113=""),F111,IF(AND(F113&lt;&gt;"",F115=""),F113,F115)))</f>
        <v/>
      </c>
      <c r="I116" s="212"/>
      <c r="J116" s="212"/>
      <c r="K116" s="212"/>
      <c r="L116" s="212"/>
      <c r="M116" s="212"/>
      <c r="N116" s="212"/>
      <c r="O116" s="212"/>
      <c r="P116" s="212"/>
      <c r="Q116" s="212"/>
      <c r="R116" s="213"/>
      <c r="S116" s="293"/>
      <c r="T116" s="294"/>
      <c r="U116" s="295"/>
    </row>
    <row r="117" spans="1:22" ht="8.25" customHeight="1" x14ac:dyDescent="0.2">
      <c r="B117" s="40"/>
      <c r="U117" s="41"/>
    </row>
    <row r="118" spans="1:22" ht="13.5" customHeight="1" x14ac:dyDescent="0.2">
      <c r="B118" s="297" t="s">
        <v>38</v>
      </c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98"/>
      <c r="P118" s="298"/>
      <c r="Q118" s="285"/>
      <c r="R118" s="285"/>
      <c r="S118" s="285"/>
      <c r="T118" s="285"/>
      <c r="U118" s="286"/>
    </row>
    <row r="119" spans="1:22" ht="24" customHeight="1" x14ac:dyDescent="0.2">
      <c r="B119" s="50"/>
      <c r="C119" s="140" t="s">
        <v>86</v>
      </c>
      <c r="D119" s="141" t="s">
        <v>85</v>
      </c>
      <c r="E119" s="142" t="s">
        <v>19</v>
      </c>
      <c r="F119" s="143"/>
      <c r="G119" s="143"/>
      <c r="H119" s="143"/>
      <c r="I119" s="143"/>
      <c r="J119" s="143"/>
      <c r="K119" s="144" t="s">
        <v>18</v>
      </c>
      <c r="L119" s="145" t="s">
        <v>88</v>
      </c>
      <c r="M119" s="146" t="s">
        <v>87</v>
      </c>
      <c r="N119" s="147" t="s">
        <v>89</v>
      </c>
      <c r="O119" s="299" t="s">
        <v>90</v>
      </c>
      <c r="P119" s="178"/>
      <c r="Q119" s="178"/>
      <c r="R119" s="178"/>
      <c r="S119" s="122"/>
      <c r="T119" s="178" t="s">
        <v>91</v>
      </c>
      <c r="U119" s="189"/>
    </row>
    <row r="120" spans="1:22" ht="28.5" customHeight="1" x14ac:dyDescent="0.2">
      <c r="B120" s="5">
        <v>1</v>
      </c>
      <c r="C120" s="155"/>
      <c r="D120" s="156"/>
      <c r="E120" s="180"/>
      <c r="F120" s="181"/>
      <c r="G120" s="181"/>
      <c r="H120" s="181"/>
      <c r="I120" s="181"/>
      <c r="J120" s="182"/>
      <c r="K120" s="148"/>
      <c r="L120" s="149"/>
      <c r="M120" s="150"/>
      <c r="N120" s="101"/>
      <c r="O120" s="105"/>
      <c r="P120" s="28"/>
      <c r="Q120" s="79"/>
      <c r="R120" s="79"/>
      <c r="S120" s="108"/>
      <c r="T120" s="81"/>
      <c r="U120" s="95"/>
    </row>
    <row r="121" spans="1:22" ht="24.75" customHeight="1" x14ac:dyDescent="0.2">
      <c r="B121" s="44">
        <v>2</v>
      </c>
      <c r="C121" s="151"/>
      <c r="D121" s="152"/>
      <c r="E121" s="183"/>
      <c r="F121" s="184"/>
      <c r="G121" s="184"/>
      <c r="H121" s="184"/>
      <c r="I121" s="184"/>
      <c r="J121" s="185"/>
      <c r="K121" s="157"/>
      <c r="L121" s="158"/>
      <c r="M121" s="159"/>
      <c r="N121" s="102"/>
      <c r="O121" s="202"/>
      <c r="P121" s="203"/>
      <c r="Q121" s="106"/>
      <c r="R121" s="106"/>
      <c r="S121" s="109"/>
      <c r="T121" s="84"/>
      <c r="U121" s="6"/>
    </row>
    <row r="122" spans="1:22" ht="19.5" customHeight="1" x14ac:dyDescent="0.2">
      <c r="B122" s="44">
        <v>3</v>
      </c>
      <c r="C122" s="151"/>
      <c r="D122" s="152"/>
      <c r="E122" s="186"/>
      <c r="F122" s="187"/>
      <c r="G122" s="187"/>
      <c r="H122" s="187"/>
      <c r="I122" s="187"/>
      <c r="J122" s="188"/>
      <c r="K122" s="103"/>
      <c r="L122" s="160"/>
      <c r="M122" s="161"/>
      <c r="N122" s="103"/>
      <c r="O122" s="202"/>
      <c r="P122" s="203"/>
      <c r="Q122" s="106"/>
      <c r="R122" s="106"/>
      <c r="S122" s="109"/>
      <c r="T122" s="84"/>
      <c r="U122" s="6"/>
    </row>
    <row r="123" spans="1:22" ht="19.5" customHeight="1" x14ac:dyDescent="0.2">
      <c r="B123" s="44">
        <v>4</v>
      </c>
      <c r="C123" s="151"/>
      <c r="D123" s="152"/>
      <c r="E123" s="186"/>
      <c r="F123" s="187"/>
      <c r="G123" s="187"/>
      <c r="H123" s="187"/>
      <c r="I123" s="187"/>
      <c r="J123" s="188"/>
      <c r="K123" s="103"/>
      <c r="L123" s="160"/>
      <c r="M123" s="161"/>
      <c r="N123" s="103"/>
      <c r="O123" s="202"/>
      <c r="P123" s="203"/>
      <c r="Q123" s="106"/>
      <c r="R123" s="106"/>
      <c r="S123" s="109"/>
      <c r="T123" s="84"/>
      <c r="U123" s="6"/>
    </row>
    <row r="124" spans="1:22" ht="22.5" customHeight="1" x14ac:dyDescent="0.2">
      <c r="B124" s="44">
        <v>5</v>
      </c>
      <c r="C124" s="151"/>
      <c r="D124" s="152"/>
      <c r="E124" s="186"/>
      <c r="F124" s="187"/>
      <c r="G124" s="187"/>
      <c r="H124" s="187"/>
      <c r="I124" s="187"/>
      <c r="J124" s="188"/>
      <c r="K124" s="103"/>
      <c r="L124" s="103"/>
      <c r="M124" s="99"/>
      <c r="N124" s="103"/>
      <c r="O124" s="202"/>
      <c r="P124" s="203"/>
      <c r="Q124" s="106"/>
      <c r="R124" s="106"/>
      <c r="S124" s="109"/>
      <c r="T124" s="84"/>
      <c r="U124" s="6"/>
    </row>
    <row r="125" spans="1:22" ht="27.75" customHeight="1" x14ac:dyDescent="0.2">
      <c r="B125" s="45">
        <v>6</v>
      </c>
      <c r="C125" s="153"/>
      <c r="D125" s="154"/>
      <c r="E125" s="98"/>
      <c r="F125" s="98"/>
      <c r="G125" s="98"/>
      <c r="H125" s="98"/>
      <c r="I125" s="98"/>
      <c r="J125" s="98"/>
      <c r="K125" s="104"/>
      <c r="L125" s="104"/>
      <c r="M125" s="100"/>
      <c r="N125" s="104"/>
      <c r="O125" s="237"/>
      <c r="P125" s="238"/>
      <c r="Q125" s="107"/>
      <c r="R125" s="107"/>
      <c r="S125" s="110"/>
      <c r="T125" s="85"/>
      <c r="U125" s="12"/>
      <c r="V125" s="11" t="s">
        <v>159</v>
      </c>
    </row>
    <row r="126" spans="1:22" ht="8.25" hidden="1" customHeight="1" x14ac:dyDescent="0.2">
      <c r="B126" s="5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6"/>
    </row>
    <row r="127" spans="1:22" hidden="1" x14ac:dyDescent="0.2">
      <c r="B127" s="5"/>
      <c r="C127" s="296" t="s">
        <v>42</v>
      </c>
      <c r="D127" s="296"/>
      <c r="E127" s="296"/>
      <c r="F127" s="296"/>
      <c r="G127" s="296"/>
      <c r="H127" s="296"/>
      <c r="I127" s="240" t="e">
        <f>+IF(#REF!="","",MAX(T121:T125))</f>
        <v>#REF!</v>
      </c>
      <c r="J127" s="240"/>
      <c r="K127" s="240"/>
      <c r="L127" s="283" t="s">
        <v>43</v>
      </c>
      <c r="M127" s="283"/>
      <c r="N127" s="283"/>
      <c r="O127" s="283"/>
      <c r="P127" s="283"/>
      <c r="Q127" s="283"/>
      <c r="R127" s="241"/>
      <c r="S127" s="241"/>
      <c r="T127" s="241"/>
      <c r="U127" s="6"/>
    </row>
    <row r="128" spans="1:22" x14ac:dyDescent="0.2">
      <c r="A128" s="5"/>
      <c r="B128" s="263" t="s">
        <v>128</v>
      </c>
      <c r="C128" s="264"/>
      <c r="D128" s="264"/>
      <c r="E128" s="269"/>
      <c r="F128" s="264"/>
      <c r="G128" s="264"/>
      <c r="H128" s="264"/>
      <c r="I128" s="264"/>
      <c r="J128" s="264"/>
      <c r="K128" s="264"/>
      <c r="L128" s="264"/>
      <c r="M128" s="264"/>
      <c r="N128" s="264"/>
      <c r="O128" s="264"/>
      <c r="P128" s="264"/>
      <c r="Q128" s="264"/>
      <c r="R128" s="264"/>
      <c r="S128" s="264"/>
      <c r="T128" s="264"/>
      <c r="U128" s="265"/>
    </row>
    <row r="129" spans="1:21" ht="20.25" customHeight="1" x14ac:dyDescent="0.2">
      <c r="A129" s="5"/>
      <c r="B129" s="60"/>
      <c r="C129" s="51" t="s">
        <v>95</v>
      </c>
      <c r="D129" s="51"/>
      <c r="E129" s="29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43"/>
    </row>
    <row r="130" spans="1:21" ht="20.25" customHeight="1" x14ac:dyDescent="0.2">
      <c r="A130" s="5"/>
      <c r="B130" s="61"/>
      <c r="C130" s="242" t="s">
        <v>36</v>
      </c>
      <c r="D130" s="242"/>
      <c r="E130" s="242"/>
      <c r="F130" s="242"/>
      <c r="G130" s="242"/>
      <c r="H130" s="242"/>
      <c r="I130" s="242"/>
      <c r="J130" s="20"/>
      <c r="K130" s="242" t="s">
        <v>18</v>
      </c>
      <c r="L130" s="242"/>
      <c r="M130" s="242"/>
      <c r="N130" s="239" t="s">
        <v>90</v>
      </c>
      <c r="O130" s="239"/>
      <c r="P130" s="239"/>
      <c r="Q130" s="239"/>
      <c r="R130" s="239"/>
      <c r="S130" s="239" t="s">
        <v>99</v>
      </c>
      <c r="T130" s="239"/>
      <c r="U130" s="6"/>
    </row>
    <row r="131" spans="1:21" ht="20.25" customHeight="1" x14ac:dyDescent="0.2">
      <c r="A131" s="5"/>
      <c r="B131" s="61"/>
      <c r="C131" s="28">
        <v>1</v>
      </c>
      <c r="D131" s="215"/>
      <c r="E131" s="215"/>
      <c r="F131" s="215"/>
      <c r="G131" s="215"/>
      <c r="H131" s="215"/>
      <c r="I131" s="215"/>
      <c r="J131" s="31"/>
      <c r="K131" s="215"/>
      <c r="L131" s="215"/>
      <c r="M131" s="215"/>
      <c r="N131" s="8"/>
      <c r="O131" s="8"/>
      <c r="P131" s="8"/>
      <c r="Q131" s="8"/>
      <c r="R131" s="8"/>
      <c r="S131" s="8"/>
      <c r="T131" s="8"/>
      <c r="U131" s="6"/>
    </row>
    <row r="132" spans="1:21" ht="20.25" customHeight="1" x14ac:dyDescent="0.2">
      <c r="A132" s="5"/>
      <c r="B132" s="61"/>
      <c r="C132" s="28">
        <v>2</v>
      </c>
      <c r="D132" s="215"/>
      <c r="E132" s="215"/>
      <c r="F132" s="215"/>
      <c r="G132" s="215"/>
      <c r="H132" s="215"/>
      <c r="I132" s="215"/>
      <c r="J132" s="31"/>
      <c r="K132" s="215"/>
      <c r="L132" s="215"/>
      <c r="M132" s="215"/>
      <c r="N132" s="8"/>
      <c r="O132" s="215"/>
      <c r="P132" s="215"/>
      <c r="Q132" s="215"/>
      <c r="R132" s="8"/>
      <c r="S132" s="215"/>
      <c r="T132" s="215"/>
      <c r="U132" s="215"/>
    </row>
    <row r="133" spans="1:21" ht="20.25" customHeight="1" x14ac:dyDescent="0.2">
      <c r="A133" s="5"/>
      <c r="B133" s="61"/>
      <c r="C133" s="28">
        <v>3</v>
      </c>
      <c r="D133" s="215"/>
      <c r="E133" s="215"/>
      <c r="F133" s="215"/>
      <c r="G133" s="215"/>
      <c r="H133" s="215"/>
      <c r="I133" s="215"/>
      <c r="J133" s="31"/>
      <c r="K133" s="215"/>
      <c r="L133" s="215"/>
      <c r="M133" s="215"/>
      <c r="N133" s="8"/>
      <c r="O133" s="215"/>
      <c r="P133" s="215"/>
      <c r="Q133" s="215"/>
      <c r="R133" s="8"/>
      <c r="S133" s="215"/>
      <c r="T133" s="215"/>
      <c r="U133" s="215"/>
    </row>
    <row r="134" spans="1:21" ht="20.25" customHeight="1" x14ac:dyDescent="0.2">
      <c r="A134" s="5"/>
      <c r="B134" s="61"/>
      <c r="C134" s="28">
        <v>4</v>
      </c>
      <c r="D134" s="215"/>
      <c r="E134" s="215"/>
      <c r="F134" s="215"/>
      <c r="G134" s="215"/>
      <c r="H134" s="215"/>
      <c r="I134" s="215"/>
      <c r="J134" s="31"/>
      <c r="K134" s="215"/>
      <c r="L134" s="215"/>
      <c r="M134" s="215"/>
      <c r="N134" s="8"/>
      <c r="O134" s="215"/>
      <c r="P134" s="215"/>
      <c r="Q134" s="215"/>
      <c r="R134" s="8"/>
      <c r="S134" s="215"/>
      <c r="T134" s="215"/>
      <c r="U134" s="215"/>
    </row>
    <row r="135" spans="1:21" ht="20.25" customHeight="1" x14ac:dyDescent="0.2">
      <c r="A135" s="5"/>
      <c r="B135" s="61"/>
      <c r="C135" s="29"/>
      <c r="D135" s="29"/>
      <c r="E135" s="29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6"/>
    </row>
    <row r="136" spans="1:21" ht="20.25" customHeight="1" x14ac:dyDescent="0.2">
      <c r="A136" s="5"/>
      <c r="B136" s="61"/>
      <c r="C136" s="29" t="s">
        <v>96</v>
      </c>
      <c r="D136" s="29"/>
      <c r="E136" s="29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6"/>
    </row>
    <row r="137" spans="1:21" ht="20.25" customHeight="1" x14ac:dyDescent="0.2">
      <c r="A137" s="5"/>
      <c r="B137" s="61"/>
      <c r="C137" s="242" t="s">
        <v>36</v>
      </c>
      <c r="D137" s="242"/>
      <c r="E137" s="242"/>
      <c r="F137" s="242"/>
      <c r="G137" s="242"/>
      <c r="H137" s="242"/>
      <c r="I137" s="242"/>
      <c r="J137" s="20"/>
      <c r="K137" s="242" t="s">
        <v>18</v>
      </c>
      <c r="L137" s="242"/>
      <c r="M137" s="242"/>
      <c r="N137" s="239" t="s">
        <v>90</v>
      </c>
      <c r="O137" s="239"/>
      <c r="P137" s="239"/>
      <c r="Q137" s="239"/>
      <c r="R137" s="239"/>
      <c r="S137" s="239" t="s">
        <v>97</v>
      </c>
      <c r="T137" s="239"/>
      <c r="U137" s="6"/>
    </row>
    <row r="138" spans="1:21" ht="20.25" customHeight="1" x14ac:dyDescent="0.2">
      <c r="A138" s="5"/>
      <c r="B138" s="61"/>
      <c r="C138" s="28">
        <v>1</v>
      </c>
      <c r="D138" s="215"/>
      <c r="E138" s="215"/>
      <c r="F138" s="215"/>
      <c r="G138" s="215"/>
      <c r="H138" s="215"/>
      <c r="I138" s="215"/>
      <c r="J138" s="31"/>
      <c r="K138" s="215"/>
      <c r="L138" s="215"/>
      <c r="M138" s="215"/>
      <c r="N138" s="8"/>
      <c r="O138" s="215"/>
      <c r="P138" s="215"/>
      <c r="Q138" s="215"/>
      <c r="R138" s="8"/>
      <c r="S138" s="215"/>
      <c r="T138" s="215"/>
      <c r="U138" s="6"/>
    </row>
    <row r="139" spans="1:21" ht="20.25" customHeight="1" x14ac:dyDescent="0.2">
      <c r="A139" s="5"/>
      <c r="B139" s="61"/>
      <c r="C139" s="28">
        <v>2</v>
      </c>
      <c r="D139" s="215"/>
      <c r="E139" s="215"/>
      <c r="F139" s="215"/>
      <c r="G139" s="215"/>
      <c r="H139" s="215"/>
      <c r="I139" s="215"/>
      <c r="J139" s="31"/>
      <c r="K139" s="215"/>
      <c r="L139" s="215"/>
      <c r="M139" s="215"/>
      <c r="N139" s="8"/>
      <c r="O139" s="215"/>
      <c r="P139" s="215"/>
      <c r="Q139" s="215"/>
      <c r="R139" s="8"/>
      <c r="S139" s="215"/>
      <c r="T139" s="215"/>
      <c r="U139" s="6"/>
    </row>
    <row r="140" spans="1:21" ht="20.25" customHeight="1" x14ac:dyDescent="0.2">
      <c r="A140" s="5"/>
      <c r="B140" s="61"/>
      <c r="C140" s="28">
        <v>3</v>
      </c>
      <c r="D140" s="215"/>
      <c r="E140" s="215"/>
      <c r="F140" s="215"/>
      <c r="G140" s="215"/>
      <c r="H140" s="215"/>
      <c r="I140" s="215"/>
      <c r="J140" s="31"/>
      <c r="K140" s="215"/>
      <c r="L140" s="215"/>
      <c r="M140" s="215"/>
      <c r="N140" s="8"/>
      <c r="O140" s="215"/>
      <c r="P140" s="215"/>
      <c r="Q140" s="215"/>
      <c r="R140" s="8"/>
      <c r="S140" s="215"/>
      <c r="T140" s="215"/>
      <c r="U140" s="6"/>
    </row>
    <row r="141" spans="1:21" ht="20.25" customHeight="1" x14ac:dyDescent="0.2">
      <c r="A141" s="5"/>
      <c r="B141" s="61"/>
      <c r="C141" s="28">
        <v>4</v>
      </c>
      <c r="D141" s="215"/>
      <c r="E141" s="215"/>
      <c r="F141" s="215"/>
      <c r="G141" s="215"/>
      <c r="H141" s="215"/>
      <c r="I141" s="215"/>
      <c r="J141" s="31"/>
      <c r="K141" s="215"/>
      <c r="L141" s="215"/>
      <c r="M141" s="215"/>
      <c r="N141" s="8"/>
      <c r="O141" s="215"/>
      <c r="P141" s="215"/>
      <c r="Q141" s="215"/>
      <c r="R141" s="8"/>
      <c r="S141" s="215"/>
      <c r="T141" s="215"/>
      <c r="U141" s="6"/>
    </row>
    <row r="142" spans="1:21" ht="20.25" customHeight="1" x14ac:dyDescent="0.2">
      <c r="A142" s="5"/>
      <c r="B142" s="224"/>
      <c r="C142" s="225"/>
      <c r="D142" s="225"/>
      <c r="E142" s="78"/>
      <c r="F142" s="73"/>
      <c r="G142" s="216" t="str">
        <f>IF(E142="SI","PROCESO","")</f>
        <v/>
      </c>
      <c r="H142" s="216"/>
      <c r="I142" s="270"/>
      <c r="J142" s="270"/>
      <c r="K142" s="270"/>
      <c r="L142" s="270"/>
      <c r="M142" s="29" t="str">
        <f>IF(E142="SI","Justificación","")</f>
        <v/>
      </c>
      <c r="N142" s="29"/>
      <c r="O142" s="230"/>
      <c r="P142" s="230"/>
      <c r="Q142" s="230"/>
      <c r="R142" s="230"/>
      <c r="S142" s="230"/>
      <c r="T142" s="230"/>
      <c r="U142" s="68"/>
    </row>
    <row r="143" spans="1:21" ht="21" customHeight="1" x14ac:dyDescent="0.2">
      <c r="B143" s="5"/>
      <c r="C143" s="80" t="s">
        <v>145</v>
      </c>
      <c r="D143" s="80"/>
      <c r="E143" s="46"/>
      <c r="F143" s="46"/>
      <c r="G143" s="46"/>
      <c r="H143" s="46"/>
      <c r="I143" s="31"/>
      <c r="J143" s="31"/>
      <c r="K143" s="31"/>
      <c r="L143" s="31"/>
      <c r="M143" s="47"/>
      <c r="N143" s="47"/>
      <c r="O143" s="48"/>
      <c r="P143" s="36"/>
      <c r="Q143" s="18"/>
      <c r="R143" s="18"/>
      <c r="S143" s="36"/>
      <c r="T143" s="36"/>
      <c r="U143" s="6"/>
    </row>
    <row r="144" spans="1:21" ht="24" customHeight="1" x14ac:dyDescent="0.2">
      <c r="B144" s="5"/>
      <c r="C144" s="96" t="s">
        <v>77</v>
      </c>
      <c r="D144" s="96"/>
      <c r="E144" s="48" t="s">
        <v>81</v>
      </c>
      <c r="F144" s="96"/>
      <c r="G144" s="229"/>
      <c r="H144" s="229"/>
      <c r="I144" s="96"/>
      <c r="J144" s="96" t="s">
        <v>92</v>
      </c>
      <c r="K144" s="111"/>
      <c r="L144" s="111"/>
      <c r="M144" s="111"/>
      <c r="N144" s="111"/>
      <c r="O144" s="48"/>
      <c r="P144" s="36"/>
      <c r="Q144" s="18"/>
      <c r="R144" s="18"/>
      <c r="S144" s="36"/>
      <c r="T144" s="36"/>
      <c r="U144" s="6"/>
    </row>
    <row r="145" spans="2:25" ht="24" customHeight="1" x14ac:dyDescent="0.2">
      <c r="B145" s="5"/>
      <c r="C145" s="96" t="s">
        <v>78</v>
      </c>
      <c r="D145" s="96"/>
      <c r="E145" s="48" t="s">
        <v>80</v>
      </c>
      <c r="F145" s="96"/>
      <c r="G145" s="228"/>
      <c r="H145" s="228"/>
      <c r="I145" s="96"/>
      <c r="J145" s="96" t="s">
        <v>92</v>
      </c>
      <c r="K145" s="200"/>
      <c r="L145" s="200"/>
      <c r="M145" s="200"/>
      <c r="N145" s="200"/>
      <c r="O145" s="48"/>
      <c r="P145" s="36"/>
      <c r="Q145" s="18"/>
      <c r="R145" s="18"/>
      <c r="S145" s="36"/>
      <c r="T145" s="36"/>
      <c r="U145" s="6"/>
    </row>
    <row r="146" spans="2:25" ht="24" customHeight="1" x14ac:dyDescent="0.2">
      <c r="B146" s="5"/>
      <c r="C146" s="96" t="s">
        <v>79</v>
      </c>
      <c r="D146" s="96"/>
      <c r="E146" s="48" t="s">
        <v>82</v>
      </c>
      <c r="F146" s="96"/>
      <c r="G146" s="96"/>
      <c r="H146" s="97" t="s">
        <v>83</v>
      </c>
      <c r="I146" s="266"/>
      <c r="J146" s="229"/>
      <c r="K146" s="96" t="s">
        <v>84</v>
      </c>
      <c r="L146" s="266"/>
      <c r="M146" s="229"/>
      <c r="N146" s="96"/>
      <c r="O146" s="48"/>
      <c r="P146" s="36"/>
      <c r="Q146" s="18"/>
      <c r="R146" s="18"/>
      <c r="S146" s="36"/>
      <c r="T146" s="36"/>
      <c r="U146" s="6"/>
    </row>
    <row r="147" spans="2:25" ht="29.25" customHeight="1" x14ac:dyDescent="0.2">
      <c r="B147" s="5"/>
      <c r="C147" s="227" t="s">
        <v>146</v>
      </c>
      <c r="D147" s="227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48"/>
      <c r="P147" s="36"/>
      <c r="Q147" s="18"/>
      <c r="R147" s="18"/>
      <c r="S147" s="36"/>
      <c r="T147" s="36"/>
      <c r="U147" s="6"/>
    </row>
    <row r="148" spans="2:25" x14ac:dyDescent="0.2">
      <c r="B148" s="5"/>
      <c r="C148" s="30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1"/>
      <c r="P148" s="221"/>
      <c r="Q148" s="221"/>
      <c r="R148" s="221"/>
      <c r="S148" s="221"/>
      <c r="T148" s="221"/>
      <c r="U148" s="6"/>
    </row>
    <row r="149" spans="2:25" x14ac:dyDescent="0.2">
      <c r="B149" s="5"/>
      <c r="C149" s="221"/>
      <c r="D149" s="221"/>
      <c r="E149" s="221"/>
      <c r="F149" s="221"/>
      <c r="G149" s="221"/>
      <c r="H149" s="221"/>
      <c r="I149" s="221"/>
      <c r="J149" s="221"/>
      <c r="K149" s="221"/>
      <c r="L149" s="221"/>
      <c r="M149" s="221"/>
      <c r="N149" s="221"/>
      <c r="O149" s="221"/>
      <c r="P149" s="221"/>
      <c r="Q149" s="221"/>
      <c r="R149" s="221"/>
      <c r="S149" s="221"/>
      <c r="T149" s="221"/>
      <c r="U149" s="6"/>
    </row>
    <row r="150" spans="2:25" ht="8.25" customHeight="1" x14ac:dyDescent="0.2">
      <c r="B150" s="42"/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12"/>
      <c r="Y150" s="19"/>
    </row>
    <row r="151" spans="2:25" ht="8.25" customHeight="1" x14ac:dyDescent="0.2">
      <c r="B151" s="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4"/>
      <c r="Y151" s="19"/>
    </row>
    <row r="152" spans="2:25" x14ac:dyDescent="0.2">
      <c r="B152" s="263" t="s">
        <v>100</v>
      </c>
      <c r="C152" s="264"/>
      <c r="D152" s="264"/>
      <c r="E152" s="264"/>
      <c r="F152" s="264"/>
      <c r="G152" s="264"/>
      <c r="H152" s="264"/>
      <c r="I152" s="264"/>
      <c r="J152" s="264"/>
      <c r="K152" s="264"/>
      <c r="L152" s="264"/>
      <c r="M152" s="264"/>
      <c r="N152" s="264"/>
      <c r="O152" s="264"/>
      <c r="P152" s="264"/>
      <c r="Q152" s="264"/>
      <c r="R152" s="264"/>
      <c r="S152" s="264"/>
      <c r="T152" s="264"/>
      <c r="U152" s="265"/>
      <c r="Y152" s="19"/>
    </row>
    <row r="153" spans="2:25" ht="12" customHeight="1" x14ac:dyDescent="0.2">
      <c r="B153" s="50"/>
      <c r="C153" s="51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43"/>
      <c r="Y153" s="19"/>
    </row>
    <row r="154" spans="2:25" ht="8.25" customHeight="1" x14ac:dyDescent="0.2">
      <c r="B154" s="5"/>
      <c r="C154" s="29"/>
      <c r="D154" s="8"/>
      <c r="E154" s="20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6"/>
    </row>
    <row r="155" spans="2:25" x14ac:dyDescent="0.2">
      <c r="B155" s="5"/>
      <c r="C155" s="239" t="s">
        <v>93</v>
      </c>
      <c r="D155" s="239"/>
      <c r="E155" s="239"/>
      <c r="F155" s="239"/>
      <c r="G155" s="239"/>
      <c r="H155" s="239"/>
      <c r="I155" s="267"/>
      <c r="J155" s="267"/>
      <c r="K155" s="8"/>
      <c r="L155" s="8"/>
      <c r="M155" s="226" t="s">
        <v>7</v>
      </c>
      <c r="N155" s="226"/>
      <c r="O155" s="226"/>
      <c r="P155" s="226"/>
      <c r="Q155" s="266"/>
      <c r="R155" s="229"/>
      <c r="S155" s="66" t="s">
        <v>8</v>
      </c>
      <c r="T155" s="70"/>
      <c r="U155" s="6"/>
    </row>
    <row r="156" spans="2:25" x14ac:dyDescent="0.2">
      <c r="B156" s="5"/>
      <c r="C156" s="29"/>
      <c r="D156" s="8"/>
      <c r="E156" s="8"/>
      <c r="F156" s="8"/>
      <c r="G156" s="8"/>
      <c r="H156" s="8"/>
      <c r="I156" s="8"/>
      <c r="J156" s="53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6"/>
    </row>
    <row r="157" spans="2:25" x14ac:dyDescent="0.2">
      <c r="B157" s="5"/>
      <c r="C157" s="239" t="s">
        <v>17</v>
      </c>
      <c r="D157" s="239"/>
      <c r="E157" s="239"/>
      <c r="F157" s="239"/>
      <c r="G157" s="239"/>
      <c r="H157" s="239"/>
      <c r="I157" s="229"/>
      <c r="J157" s="229"/>
      <c r="K157" s="229"/>
      <c r="L157" s="229"/>
      <c r="M157" s="229"/>
      <c r="N157" s="229"/>
      <c r="O157" s="229"/>
      <c r="P157" s="229"/>
      <c r="Q157" s="229"/>
      <c r="R157" s="229"/>
      <c r="S157" s="229"/>
      <c r="T157" s="8"/>
      <c r="U157" s="6"/>
    </row>
    <row r="158" spans="2:25" x14ac:dyDescent="0.2">
      <c r="B158" s="5"/>
      <c r="C158" s="29"/>
      <c r="D158" s="8"/>
      <c r="E158" s="8"/>
      <c r="F158" s="8"/>
      <c r="G158" s="8"/>
      <c r="H158" s="8"/>
      <c r="I158" s="8"/>
      <c r="J158" s="53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6"/>
    </row>
    <row r="159" spans="2:25" x14ac:dyDescent="0.2">
      <c r="B159" s="5"/>
      <c r="C159" s="239" t="s">
        <v>94</v>
      </c>
      <c r="D159" s="239"/>
      <c r="E159" s="139"/>
      <c r="F159" s="239" t="s">
        <v>9</v>
      </c>
      <c r="G159" s="239"/>
      <c r="H159" s="239"/>
      <c r="I159" s="76"/>
      <c r="J159" s="239" t="s">
        <v>161</v>
      </c>
      <c r="K159" s="239"/>
      <c r="L159" s="271"/>
      <c r="M159" s="271"/>
      <c r="N159" s="29" t="s">
        <v>162</v>
      </c>
      <c r="O159" s="29"/>
      <c r="P159" s="271"/>
      <c r="Q159" s="271"/>
      <c r="R159" s="239" t="s">
        <v>39</v>
      </c>
      <c r="S159" s="239"/>
      <c r="T159" s="63"/>
      <c r="U159" s="6"/>
    </row>
    <row r="160" spans="2:25" x14ac:dyDescent="0.2">
      <c r="B160" s="5"/>
      <c r="C160" s="29"/>
      <c r="D160" s="8"/>
      <c r="E160" s="8"/>
      <c r="F160" s="8"/>
      <c r="G160" s="8"/>
      <c r="H160" s="8"/>
      <c r="I160" s="8"/>
      <c r="J160" s="53"/>
      <c r="K160" s="8"/>
      <c r="L160" s="54"/>
      <c r="M160" s="54"/>
      <c r="N160" s="8"/>
      <c r="O160" s="8"/>
      <c r="P160" s="8"/>
      <c r="Q160" s="8"/>
      <c r="R160" s="8"/>
      <c r="S160" s="8"/>
      <c r="T160" s="8"/>
      <c r="U160" s="6"/>
    </row>
    <row r="161" spans="1:32" x14ac:dyDescent="0.2">
      <c r="B161" s="5"/>
      <c r="P161" s="75"/>
      <c r="Q161" s="78"/>
      <c r="R161" s="75"/>
      <c r="S161" s="78"/>
      <c r="T161" s="75"/>
      <c r="U161" s="6"/>
    </row>
    <row r="162" spans="1:32" x14ac:dyDescent="0.2">
      <c r="B162" s="5"/>
      <c r="C162" s="8"/>
      <c r="D162" s="21"/>
      <c r="E162" s="21"/>
      <c r="F162" s="21"/>
      <c r="G162" s="21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6"/>
    </row>
    <row r="163" spans="1:32" x14ac:dyDescent="0.2">
      <c r="B163" s="5"/>
      <c r="C163" s="222" t="s">
        <v>20</v>
      </c>
      <c r="D163" s="222"/>
      <c r="E163" s="222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23"/>
      <c r="S163" s="223"/>
      <c r="T163" s="223"/>
      <c r="U163" s="6"/>
    </row>
    <row r="164" spans="1:32" ht="16.5" customHeight="1" x14ac:dyDescent="0.2">
      <c r="B164" s="5"/>
      <c r="C164" s="268" t="s">
        <v>3</v>
      </c>
      <c r="D164" s="268"/>
      <c r="E164" s="217"/>
      <c r="F164" s="218"/>
      <c r="G164" s="218"/>
      <c r="H164" s="218"/>
      <c r="I164" s="218"/>
      <c r="J164" s="218"/>
      <c r="K164" s="218"/>
      <c r="L164" s="218"/>
      <c r="M164" s="218"/>
      <c r="N164" s="218"/>
      <c r="O164" s="8"/>
      <c r="P164" s="8"/>
      <c r="Q164" s="8"/>
      <c r="R164" s="74" t="s">
        <v>2</v>
      </c>
      <c r="S164" s="219"/>
      <c r="T164" s="220"/>
      <c r="U164" s="6"/>
    </row>
    <row r="165" spans="1:32" ht="16.5" customHeight="1" x14ac:dyDescent="0.2">
      <c r="B165" s="5"/>
      <c r="C165" s="86"/>
      <c r="D165" s="86"/>
      <c r="E165" s="112"/>
      <c r="F165" s="112"/>
      <c r="G165" s="112"/>
      <c r="H165" s="112"/>
      <c r="I165" s="112"/>
      <c r="J165" s="112"/>
      <c r="K165" s="112"/>
      <c r="L165" s="112"/>
      <c r="M165" s="112"/>
      <c r="N165" s="112"/>
      <c r="O165" s="8"/>
      <c r="P165" s="8"/>
      <c r="Q165" s="8"/>
      <c r="R165" s="83"/>
      <c r="S165" s="113"/>
      <c r="T165" s="114"/>
      <c r="U165" s="6"/>
    </row>
    <row r="166" spans="1:32" ht="20.25" customHeight="1" x14ac:dyDescent="0.2">
      <c r="B166" s="42"/>
      <c r="C166" s="216" t="s">
        <v>98</v>
      </c>
      <c r="D166" s="216"/>
      <c r="E166" s="216"/>
      <c r="F166" s="216"/>
      <c r="G166" s="216"/>
      <c r="H166" s="216"/>
      <c r="I166" s="216"/>
      <c r="J166" s="216"/>
      <c r="K166" s="216"/>
      <c r="L166" s="216"/>
      <c r="M166" s="216"/>
      <c r="N166" s="216"/>
      <c r="O166" s="216"/>
      <c r="P166" s="82" t="s">
        <v>0</v>
      </c>
      <c r="Q166" s="17"/>
      <c r="R166" s="82" t="s">
        <v>1</v>
      </c>
      <c r="S166" s="17"/>
      <c r="T166" s="55"/>
      <c r="U166" s="12"/>
    </row>
    <row r="167" spans="1:32" ht="8.25" customHeight="1" x14ac:dyDescent="0.2">
      <c r="A167" s="31"/>
      <c r="B167" s="56"/>
      <c r="C167" s="8"/>
      <c r="D167" s="21"/>
      <c r="E167" s="21"/>
      <c r="F167" s="21"/>
      <c r="G167" s="21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57"/>
      <c r="U167" s="58"/>
      <c r="V167" s="59"/>
    </row>
    <row r="168" spans="1:32" x14ac:dyDescent="0.2">
      <c r="B168" s="263" t="s">
        <v>40</v>
      </c>
      <c r="C168" s="264"/>
      <c r="D168" s="264"/>
      <c r="E168" s="264"/>
      <c r="F168" s="264"/>
      <c r="G168" s="264"/>
      <c r="H168" s="264"/>
      <c r="I168" s="264"/>
      <c r="J168" s="264"/>
      <c r="K168" s="264"/>
      <c r="L168" s="264"/>
      <c r="M168" s="264"/>
      <c r="N168" s="264"/>
      <c r="O168" s="264"/>
      <c r="P168" s="264"/>
      <c r="Q168" s="264"/>
      <c r="R168" s="264"/>
      <c r="S168" s="264"/>
      <c r="T168" s="264"/>
      <c r="U168" s="265"/>
    </row>
    <row r="169" spans="1:32" x14ac:dyDescent="0.2">
      <c r="B169" s="62"/>
      <c r="C169" s="261"/>
      <c r="D169" s="261"/>
      <c r="E169" s="261"/>
      <c r="F169" s="261"/>
      <c r="G169" s="261"/>
      <c r="H169" s="261"/>
      <c r="I169" s="261"/>
      <c r="J169" s="261"/>
      <c r="K169" s="261"/>
      <c r="L169" s="261"/>
      <c r="M169" s="261"/>
      <c r="N169" s="261"/>
      <c r="O169" s="261"/>
      <c r="P169" s="261"/>
      <c r="Q169" s="261"/>
      <c r="R169" s="261"/>
      <c r="S169" s="261"/>
      <c r="T169" s="261"/>
      <c r="U169" s="6"/>
      <c r="W169" s="214"/>
      <c r="X169" s="214"/>
      <c r="Y169" s="214"/>
      <c r="Z169" s="214"/>
      <c r="AA169" s="214"/>
      <c r="AB169" s="214"/>
      <c r="AC169" s="214"/>
      <c r="AD169" s="214"/>
      <c r="AE169" s="214"/>
      <c r="AF169" s="214"/>
    </row>
    <row r="170" spans="1:32" x14ac:dyDescent="0.2">
      <c r="B170" s="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62"/>
      <c r="S170" s="262"/>
      <c r="T170" s="262"/>
      <c r="U170" s="6"/>
      <c r="W170" s="214"/>
      <c r="X170" s="214"/>
      <c r="Y170" s="214"/>
      <c r="Z170" s="214"/>
      <c r="AA170" s="214"/>
      <c r="AB170" s="214"/>
      <c r="AC170" s="214"/>
      <c r="AD170" s="214"/>
      <c r="AE170" s="214"/>
      <c r="AF170" s="214"/>
    </row>
    <row r="171" spans="1:32" x14ac:dyDescent="0.2">
      <c r="B171" s="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62"/>
      <c r="S171" s="262"/>
      <c r="T171" s="262"/>
      <c r="U171" s="6"/>
      <c r="W171" s="214"/>
      <c r="X171" s="214"/>
      <c r="Y171" s="214"/>
      <c r="Z171" s="214"/>
      <c r="AA171" s="214"/>
      <c r="AB171" s="214"/>
      <c r="AC171" s="214"/>
      <c r="AD171" s="214"/>
      <c r="AE171" s="214"/>
      <c r="AF171" s="214"/>
    </row>
    <row r="172" spans="1:32" ht="13.5" thickBot="1" x14ac:dyDescent="0.25">
      <c r="B172" s="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62"/>
      <c r="S172" s="262"/>
      <c r="T172" s="262"/>
      <c r="U172" s="6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</row>
    <row r="173" spans="1:32" ht="13.5" thickBot="1" x14ac:dyDescent="0.25">
      <c r="B173" s="34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 t="s">
        <v>148</v>
      </c>
      <c r="R173" s="136"/>
      <c r="S173" s="26"/>
      <c r="T173" s="26"/>
      <c r="U173" s="35"/>
    </row>
  </sheetData>
  <sheetProtection formatCells="0" formatColumns="0" formatRows="0" insertRows="0" insertHyperlinks="0" deleteRows="0" sort="0" autoFilter="0" pivotTables="0"/>
  <mergeCells count="232">
    <mergeCell ref="B6:T6"/>
    <mergeCell ref="B38:U38"/>
    <mergeCell ref="C40:D40"/>
    <mergeCell ref="J50:M50"/>
    <mergeCell ref="B16:U16"/>
    <mergeCell ref="C18:I18"/>
    <mergeCell ref="C19:T21"/>
    <mergeCell ref="D49:H49"/>
    <mergeCell ref="C17:H17"/>
    <mergeCell ref="N40:O51"/>
    <mergeCell ref="J42:M42"/>
    <mergeCell ref="J51:M51"/>
    <mergeCell ref="C22:I22"/>
    <mergeCell ref="C29:G29"/>
    <mergeCell ref="D51:H51"/>
    <mergeCell ref="I40:I51"/>
    <mergeCell ref="P42:T42"/>
    <mergeCell ref="C23:T27"/>
    <mergeCell ref="E8:F8"/>
    <mergeCell ref="J8:L8"/>
    <mergeCell ref="J49:M49"/>
    <mergeCell ref="P46:T46"/>
    <mergeCell ref="D42:H42"/>
    <mergeCell ref="H81:R81"/>
    <mergeCell ref="F81:G81"/>
    <mergeCell ref="F79:Q79"/>
    <mergeCell ref="S75:U116"/>
    <mergeCell ref="B110:B115"/>
    <mergeCell ref="C82:E87"/>
    <mergeCell ref="H116:R116"/>
    <mergeCell ref="C127:H127"/>
    <mergeCell ref="F110:Q110"/>
    <mergeCell ref="B118:U118"/>
    <mergeCell ref="F116:G116"/>
    <mergeCell ref="O119:R119"/>
    <mergeCell ref="R112:R113"/>
    <mergeCell ref="R79:R80"/>
    <mergeCell ref="F77:Q77"/>
    <mergeCell ref="F76:Q76"/>
    <mergeCell ref="F75:Q75"/>
    <mergeCell ref="F80:Q80"/>
    <mergeCell ref="C67:T67"/>
    <mergeCell ref="B74:E74"/>
    <mergeCell ref="T56:U56"/>
    <mergeCell ref="C68:D68"/>
    <mergeCell ref="B73:U73"/>
    <mergeCell ref="B75:B80"/>
    <mergeCell ref="S74:T74"/>
    <mergeCell ref="C71:F71"/>
    <mergeCell ref="B65:U65"/>
    <mergeCell ref="C75:E80"/>
    <mergeCell ref="K70:R71"/>
    <mergeCell ref="F78:Q78"/>
    <mergeCell ref="F74:Q74"/>
    <mergeCell ref="R75:R76"/>
    <mergeCell ref="R77:R78"/>
    <mergeCell ref="I146:J146"/>
    <mergeCell ref="L146:M146"/>
    <mergeCell ref="C89:E94"/>
    <mergeCell ref="C96:E101"/>
    <mergeCell ref="C103:E108"/>
    <mergeCell ref="F93:Q93"/>
    <mergeCell ref="F89:Q89"/>
    <mergeCell ref="F106:Q106"/>
    <mergeCell ref="F113:Q113"/>
    <mergeCell ref="F114:Q114"/>
    <mergeCell ref="F115:Q115"/>
    <mergeCell ref="F91:Q91"/>
    <mergeCell ref="K145:N145"/>
    <mergeCell ref="L127:Q127"/>
    <mergeCell ref="C169:T172"/>
    <mergeCell ref="B152:U152"/>
    <mergeCell ref="Q155:R155"/>
    <mergeCell ref="I155:J155"/>
    <mergeCell ref="C164:D164"/>
    <mergeCell ref="C157:H157"/>
    <mergeCell ref="C155:H155"/>
    <mergeCell ref="B128:U128"/>
    <mergeCell ref="B168:U168"/>
    <mergeCell ref="R159:S159"/>
    <mergeCell ref="C149:T149"/>
    <mergeCell ref="G144:H144"/>
    <mergeCell ref="I142:L142"/>
    <mergeCell ref="D133:I133"/>
    <mergeCell ref="K133:M133"/>
    <mergeCell ref="D134:I134"/>
    <mergeCell ref="K134:M134"/>
    <mergeCell ref="D140:I140"/>
    <mergeCell ref="G142:H142"/>
    <mergeCell ref="F159:H159"/>
    <mergeCell ref="J159:K159"/>
    <mergeCell ref="L159:M159"/>
    <mergeCell ref="P159:Q159"/>
    <mergeCell ref="C159:D159"/>
    <mergeCell ref="B1:U3"/>
    <mergeCell ref="B82:B87"/>
    <mergeCell ref="B89:B94"/>
    <mergeCell ref="B96:B101"/>
    <mergeCell ref="B103:B108"/>
    <mergeCell ref="C110:E115"/>
    <mergeCell ref="R114:R115"/>
    <mergeCell ref="F86:Q86"/>
    <mergeCell ref="R86:R87"/>
    <mergeCell ref="R93:R94"/>
    <mergeCell ref="F94:Q94"/>
    <mergeCell ref="F95:G95"/>
    <mergeCell ref="H95:R95"/>
    <mergeCell ref="F96:Q96"/>
    <mergeCell ref="R96:R97"/>
    <mergeCell ref="F97:Q97"/>
    <mergeCell ref="F98:Q98"/>
    <mergeCell ref="R98:R99"/>
    <mergeCell ref="F99:Q99"/>
    <mergeCell ref="R89:R90"/>
    <mergeCell ref="F90:Q90"/>
    <mergeCell ref="F112:Q112"/>
    <mergeCell ref="F82:Q82"/>
    <mergeCell ref="F111:Q111"/>
    <mergeCell ref="K130:M130"/>
    <mergeCell ref="D131:I131"/>
    <mergeCell ref="K131:M131"/>
    <mergeCell ref="D132:I132"/>
    <mergeCell ref="K132:M132"/>
    <mergeCell ref="C137:I137"/>
    <mergeCell ref="K137:M137"/>
    <mergeCell ref="D141:I141"/>
    <mergeCell ref="F87:Q87"/>
    <mergeCell ref="F107:Q107"/>
    <mergeCell ref="F108:Q108"/>
    <mergeCell ref="F100:Q100"/>
    <mergeCell ref="F104:Q104"/>
    <mergeCell ref="F102:G102"/>
    <mergeCell ref="H102:R102"/>
    <mergeCell ref="F103:Q103"/>
    <mergeCell ref="R103:R104"/>
    <mergeCell ref="R91:R92"/>
    <mergeCell ref="F92:Q92"/>
    <mergeCell ref="R100:R101"/>
    <mergeCell ref="F101:Q101"/>
    <mergeCell ref="C147:D147"/>
    <mergeCell ref="G145:H145"/>
    <mergeCell ref="I157:S157"/>
    <mergeCell ref="O142:T142"/>
    <mergeCell ref="F84:Q84"/>
    <mergeCell ref="F109:G109"/>
    <mergeCell ref="H109:R109"/>
    <mergeCell ref="F105:Q105"/>
    <mergeCell ref="R110:R111"/>
    <mergeCell ref="O125:P125"/>
    <mergeCell ref="O124:P124"/>
    <mergeCell ref="K141:M141"/>
    <mergeCell ref="N130:R130"/>
    <mergeCell ref="S130:T130"/>
    <mergeCell ref="N137:R137"/>
    <mergeCell ref="S137:T137"/>
    <mergeCell ref="O138:Q138"/>
    <mergeCell ref="O139:Q139"/>
    <mergeCell ref="O140:Q140"/>
    <mergeCell ref="I127:K127"/>
    <mergeCell ref="K140:M140"/>
    <mergeCell ref="R127:T127"/>
    <mergeCell ref="E124:J124"/>
    <mergeCell ref="C130:I130"/>
    <mergeCell ref="W169:AF172"/>
    <mergeCell ref="O132:Q132"/>
    <mergeCell ref="O133:Q133"/>
    <mergeCell ref="O134:Q134"/>
    <mergeCell ref="S132:U132"/>
    <mergeCell ref="S133:U133"/>
    <mergeCell ref="S134:U134"/>
    <mergeCell ref="C166:O166"/>
    <mergeCell ref="O141:Q141"/>
    <mergeCell ref="S138:T138"/>
    <mergeCell ref="S139:T139"/>
    <mergeCell ref="S140:T140"/>
    <mergeCell ref="S141:T141"/>
    <mergeCell ref="D138:I138"/>
    <mergeCell ref="K138:M138"/>
    <mergeCell ref="D139:I139"/>
    <mergeCell ref="K139:M139"/>
    <mergeCell ref="E164:N164"/>
    <mergeCell ref="S164:T164"/>
    <mergeCell ref="D148:T148"/>
    <mergeCell ref="C163:E163"/>
    <mergeCell ref="F163:T163"/>
    <mergeCell ref="B142:D142"/>
    <mergeCell ref="M155:P155"/>
    <mergeCell ref="E120:J120"/>
    <mergeCell ref="E121:J121"/>
    <mergeCell ref="E123:J123"/>
    <mergeCell ref="E122:J122"/>
    <mergeCell ref="T119:U119"/>
    <mergeCell ref="C30:U35"/>
    <mergeCell ref="D58:J58"/>
    <mergeCell ref="D59:J59"/>
    <mergeCell ref="D60:J60"/>
    <mergeCell ref="D61:J61"/>
    <mergeCell ref="D62:J62"/>
    <mergeCell ref="O121:P121"/>
    <mergeCell ref="O122:P122"/>
    <mergeCell ref="O123:P123"/>
    <mergeCell ref="R82:R83"/>
    <mergeCell ref="R84:R85"/>
    <mergeCell ref="F85:Q85"/>
    <mergeCell ref="F88:G88"/>
    <mergeCell ref="H88:R88"/>
    <mergeCell ref="F83:Q83"/>
    <mergeCell ref="R105:R106"/>
    <mergeCell ref="R107:R108"/>
    <mergeCell ref="J46:M46"/>
    <mergeCell ref="J47:M47"/>
    <mergeCell ref="F10:I10"/>
    <mergeCell ref="L10:M10"/>
    <mergeCell ref="O10:P10"/>
    <mergeCell ref="Q10:S10"/>
    <mergeCell ref="E12:G12"/>
    <mergeCell ref="I12:J12"/>
    <mergeCell ref="P8:S8"/>
    <mergeCell ref="D56:J56"/>
    <mergeCell ref="O56:S56"/>
    <mergeCell ref="J48:M48"/>
    <mergeCell ref="C44:E44"/>
    <mergeCell ref="D46:H46"/>
    <mergeCell ref="D47:H47"/>
    <mergeCell ref="D48:H48"/>
    <mergeCell ref="D50:H50"/>
    <mergeCell ref="P47:T47"/>
    <mergeCell ref="P48:T48"/>
    <mergeCell ref="P49:T49"/>
    <mergeCell ref="P50:T50"/>
    <mergeCell ref="P51:T51"/>
    <mergeCell ref="B54:U54"/>
  </mergeCells>
  <phoneticPr fontId="2" type="noConversion"/>
  <conditionalFormatting sqref="I142:L142">
    <cfRule type="expression" dxfId="1" priority="1" stopIfTrue="1">
      <formula>#REF!="SI"</formula>
    </cfRule>
  </conditionalFormatting>
  <conditionalFormatting sqref="O142">
    <cfRule type="expression" dxfId="0" priority="5" stopIfTrue="1">
      <formula>#REF!="SI"</formula>
    </cfRule>
  </conditionalFormatting>
  <dataValidations count="4">
    <dataValidation operator="greaterThan" allowBlank="1" showInputMessage="1" showErrorMessage="1" sqref="L159 F159 I159" xr:uid="{00000000-0002-0000-0000-000000000000}"/>
    <dataValidation operator="greaterThanOrEqual" allowBlank="1" showInputMessage="1" showErrorMessage="1" sqref="P159" xr:uid="{00000000-0002-0000-0000-000001000000}"/>
    <dataValidation type="list" allowBlank="1" showInputMessage="1" showErrorMessage="1" sqref="R110:R113 S71 I69 I71 R103:R106 R96:R99 R89:R92 R82:R85 R75:R78 E109 E102 E95 E88 E116 E81 S69" xr:uid="{00000000-0002-0000-0000-000002000000}">
      <formula1>"SI,NO,N/A"</formula1>
    </dataValidation>
    <dataValidation type="list" allowBlank="1" showInputMessage="1" showErrorMessage="1" sqref="E142" xr:uid="{00000000-0002-0000-0000-000003000000}">
      <formula1>"SI,NO,Seleccione"</formula1>
    </dataValidation>
  </dataValidations>
  <printOptions horizontalCentered="1"/>
  <pageMargins left="0.19685039370078741" right="0.19685039370078741" top="0.19685039370078741" bottom="0.19685039370078741" header="0.19685039370078741" footer="0"/>
  <pageSetup paperSize="119" scale="64" fitToHeight="0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I89"/>
  <sheetViews>
    <sheetView zoomScale="84" zoomScaleNormal="160" workbookViewId="0">
      <selection activeCell="I71" sqref="I71"/>
    </sheetView>
  </sheetViews>
  <sheetFormatPr baseColWidth="10" defaultRowHeight="12.75" x14ac:dyDescent="0.2"/>
  <cols>
    <col min="8" max="8" width="53" customWidth="1"/>
    <col min="9" max="9" width="49.42578125" customWidth="1"/>
  </cols>
  <sheetData>
    <row r="1" spans="8:9" ht="39.75" customHeight="1" x14ac:dyDescent="0.25">
      <c r="H1" s="126" t="s">
        <v>44</v>
      </c>
      <c r="I1" s="126" t="s">
        <v>48</v>
      </c>
    </row>
    <row r="2" spans="8:9" x14ac:dyDescent="0.2">
      <c r="H2" s="129" t="s">
        <v>112</v>
      </c>
      <c r="I2" s="129" t="s">
        <v>113</v>
      </c>
    </row>
    <row r="3" spans="8:9" ht="25.5" x14ac:dyDescent="0.2">
      <c r="H3" s="88" t="s">
        <v>114</v>
      </c>
      <c r="I3" s="88" t="s">
        <v>115</v>
      </c>
    </row>
    <row r="6" spans="8:9" x14ac:dyDescent="0.2">
      <c r="H6" s="129" t="s">
        <v>109</v>
      </c>
      <c r="I6" s="129" t="s">
        <v>111</v>
      </c>
    </row>
    <row r="7" spans="8:9" ht="25.5" x14ac:dyDescent="0.2">
      <c r="H7" s="88" t="s">
        <v>110</v>
      </c>
      <c r="I7" s="88" t="s">
        <v>144</v>
      </c>
    </row>
    <row r="8" spans="8:9" x14ac:dyDescent="0.2">
      <c r="H8" s="88"/>
      <c r="I8" s="88"/>
    </row>
    <row r="9" spans="8:9" x14ac:dyDescent="0.2">
      <c r="H9" s="88"/>
      <c r="I9" s="88"/>
    </row>
    <row r="10" spans="8:9" x14ac:dyDescent="0.2">
      <c r="H10" s="88"/>
      <c r="I10" s="88"/>
    </row>
    <row r="11" spans="8:9" x14ac:dyDescent="0.2">
      <c r="H11" s="88"/>
      <c r="I11" s="88"/>
    </row>
    <row r="12" spans="8:9" x14ac:dyDescent="0.2">
      <c r="H12" s="88"/>
      <c r="I12" s="88"/>
    </row>
    <row r="13" spans="8:9" x14ac:dyDescent="0.2">
      <c r="H13" s="88"/>
      <c r="I13" s="88"/>
    </row>
    <row r="14" spans="8:9" x14ac:dyDescent="0.2">
      <c r="H14" s="88"/>
      <c r="I14" s="88"/>
    </row>
    <row r="15" spans="8:9" x14ac:dyDescent="0.2">
      <c r="H15" s="129" t="s">
        <v>116</v>
      </c>
      <c r="I15" s="129" t="s">
        <v>61</v>
      </c>
    </row>
    <row r="16" spans="8:9" x14ac:dyDescent="0.2">
      <c r="H16" s="88" t="s">
        <v>49</v>
      </c>
      <c r="I16" s="88" t="s">
        <v>45</v>
      </c>
    </row>
    <row r="17" spans="8:9" x14ac:dyDescent="0.2">
      <c r="H17" s="88" t="s">
        <v>50</v>
      </c>
      <c r="I17" s="137" t="s">
        <v>46</v>
      </c>
    </row>
    <row r="18" spans="8:9" x14ac:dyDescent="0.2">
      <c r="H18" s="90" t="s">
        <v>51</v>
      </c>
      <c r="I18" s="88" t="s">
        <v>47</v>
      </c>
    </row>
    <row r="19" spans="8:9" x14ac:dyDescent="0.2">
      <c r="H19" s="89" t="s">
        <v>52</v>
      </c>
      <c r="I19" s="91"/>
    </row>
    <row r="20" spans="8:9" x14ac:dyDescent="0.2">
      <c r="H20" s="89" t="s">
        <v>53</v>
      </c>
      <c r="I20" s="88"/>
    </row>
    <row r="21" spans="8:9" x14ac:dyDescent="0.2">
      <c r="H21" s="88"/>
      <c r="I21" s="88"/>
    </row>
    <row r="22" spans="8:9" x14ac:dyDescent="0.2">
      <c r="H22" s="88"/>
      <c r="I22" s="88"/>
    </row>
    <row r="23" spans="8:9" x14ac:dyDescent="0.2">
      <c r="H23" s="88"/>
      <c r="I23" s="88"/>
    </row>
    <row r="24" spans="8:9" x14ac:dyDescent="0.2">
      <c r="H24" s="88"/>
      <c r="I24" s="88"/>
    </row>
    <row r="25" spans="8:9" x14ac:dyDescent="0.2">
      <c r="H25" s="88"/>
      <c r="I25" s="88"/>
    </row>
    <row r="26" spans="8:9" x14ac:dyDescent="0.2">
      <c r="H26" s="88"/>
      <c r="I26" s="88"/>
    </row>
    <row r="30" spans="8:9" x14ac:dyDescent="0.2">
      <c r="H30" s="87" t="s">
        <v>117</v>
      </c>
      <c r="I30" s="87" t="s">
        <v>120</v>
      </c>
    </row>
    <row r="31" spans="8:9" ht="63.75" x14ac:dyDescent="0.2">
      <c r="I31" s="92" t="s">
        <v>121</v>
      </c>
    </row>
    <row r="33" spans="8:9" x14ac:dyDescent="0.2">
      <c r="H33" s="87" t="s">
        <v>54</v>
      </c>
      <c r="I33" s="87" t="s">
        <v>149</v>
      </c>
    </row>
    <row r="34" spans="8:9" x14ac:dyDescent="0.2">
      <c r="H34" s="87" t="s">
        <v>55</v>
      </c>
      <c r="I34" s="87" t="s">
        <v>66</v>
      </c>
    </row>
    <row r="35" spans="8:9" x14ac:dyDescent="0.2">
      <c r="H35" s="87" t="s">
        <v>56</v>
      </c>
      <c r="I35" s="87" t="s">
        <v>151</v>
      </c>
    </row>
    <row r="36" spans="8:9" x14ac:dyDescent="0.2">
      <c r="H36" s="87" t="s">
        <v>57</v>
      </c>
      <c r="I36" s="87" t="s">
        <v>62</v>
      </c>
    </row>
    <row r="37" spans="8:9" x14ac:dyDescent="0.2">
      <c r="H37" s="87" t="s">
        <v>150</v>
      </c>
      <c r="I37" s="87" t="s">
        <v>63</v>
      </c>
    </row>
    <row r="38" spans="8:9" x14ac:dyDescent="0.2">
      <c r="H38" s="94" t="s">
        <v>58</v>
      </c>
      <c r="I38" s="87" t="s">
        <v>64</v>
      </c>
    </row>
    <row r="39" spans="8:9" x14ac:dyDescent="0.2">
      <c r="H39" s="87" t="s">
        <v>59</v>
      </c>
      <c r="I39" s="87" t="s">
        <v>65</v>
      </c>
    </row>
    <row r="40" spans="8:9" x14ac:dyDescent="0.2">
      <c r="H40" s="94" t="s">
        <v>60</v>
      </c>
    </row>
    <row r="45" spans="8:9" x14ac:dyDescent="0.2">
      <c r="H45" s="130" t="s">
        <v>118</v>
      </c>
      <c r="I45" s="130" t="s">
        <v>119</v>
      </c>
    </row>
    <row r="46" spans="8:9" x14ac:dyDescent="0.2">
      <c r="H46" s="87" t="s">
        <v>67</v>
      </c>
      <c r="I46" s="87" t="s">
        <v>67</v>
      </c>
    </row>
    <row r="47" spans="8:9" x14ac:dyDescent="0.2">
      <c r="H47" s="87" t="s">
        <v>68</v>
      </c>
      <c r="I47" s="87" t="s">
        <v>152</v>
      </c>
    </row>
    <row r="48" spans="8:9" x14ac:dyDescent="0.2">
      <c r="H48" s="87" t="s">
        <v>69</v>
      </c>
      <c r="I48" s="87" t="s">
        <v>154</v>
      </c>
    </row>
    <row r="49" spans="2:9" x14ac:dyDescent="0.2">
      <c r="H49" s="87" t="s">
        <v>70</v>
      </c>
      <c r="I49" s="87" t="s">
        <v>155</v>
      </c>
    </row>
    <row r="50" spans="2:9" x14ac:dyDescent="0.2">
      <c r="H50" s="87" t="s">
        <v>71</v>
      </c>
      <c r="I50" s="87" t="s">
        <v>156</v>
      </c>
    </row>
    <row r="51" spans="2:9" x14ac:dyDescent="0.2">
      <c r="B51">
        <f>+B63</f>
        <v>0</v>
      </c>
      <c r="H51" s="87" t="s">
        <v>72</v>
      </c>
      <c r="I51" s="87" t="s">
        <v>153</v>
      </c>
    </row>
    <row r="52" spans="2:9" x14ac:dyDescent="0.2">
      <c r="H52" s="94" t="s">
        <v>142</v>
      </c>
    </row>
    <row r="53" spans="2:9" x14ac:dyDescent="0.2">
      <c r="H53" s="94" t="s">
        <v>143</v>
      </c>
    </row>
    <row r="55" spans="2:9" x14ac:dyDescent="0.2">
      <c r="H55" s="127" t="s">
        <v>102</v>
      </c>
      <c r="I55" s="127" t="s">
        <v>102</v>
      </c>
    </row>
    <row r="57" spans="2:9" ht="25.5" x14ac:dyDescent="0.2">
      <c r="H57" s="87" t="s">
        <v>103</v>
      </c>
      <c r="I57" s="92" t="s">
        <v>108</v>
      </c>
    </row>
    <row r="58" spans="2:9" x14ac:dyDescent="0.2">
      <c r="I58" s="128"/>
    </row>
    <row r="59" spans="2:9" x14ac:dyDescent="0.2">
      <c r="H59" s="127" t="s">
        <v>105</v>
      </c>
      <c r="I59" s="127" t="s">
        <v>105</v>
      </c>
    </row>
    <row r="61" spans="2:9" x14ac:dyDescent="0.2">
      <c r="H61" s="87" t="s">
        <v>106</v>
      </c>
      <c r="I61" s="87" t="s">
        <v>107</v>
      </c>
    </row>
    <row r="63" spans="2:9" x14ac:dyDescent="0.2">
      <c r="H63" s="127" t="s">
        <v>122</v>
      </c>
      <c r="I63" s="127" t="s">
        <v>122</v>
      </c>
    </row>
    <row r="65" spans="8:9" ht="25.5" x14ac:dyDescent="0.2">
      <c r="H65" s="87" t="s">
        <v>157</v>
      </c>
      <c r="I65" s="92" t="s">
        <v>126</v>
      </c>
    </row>
    <row r="66" spans="8:9" x14ac:dyDescent="0.2">
      <c r="I66" t="s">
        <v>158</v>
      </c>
    </row>
    <row r="68" spans="8:9" x14ac:dyDescent="0.2">
      <c r="H68" s="127" t="s">
        <v>123</v>
      </c>
      <c r="I68" s="127" t="s">
        <v>124</v>
      </c>
    </row>
    <row r="70" spans="8:9" ht="25.5" x14ac:dyDescent="0.2">
      <c r="H70" s="87" t="s">
        <v>125</v>
      </c>
      <c r="I70" s="92" t="s">
        <v>127</v>
      </c>
    </row>
    <row r="73" spans="8:9" x14ac:dyDescent="0.2">
      <c r="H73" s="127" t="s">
        <v>129</v>
      </c>
      <c r="I73" s="127" t="s">
        <v>129</v>
      </c>
    </row>
    <row r="75" spans="8:9" x14ac:dyDescent="0.2">
      <c r="H75" t="s">
        <v>130</v>
      </c>
      <c r="I75" t="s">
        <v>131</v>
      </c>
    </row>
    <row r="77" spans="8:9" x14ac:dyDescent="0.2">
      <c r="H77" s="127" t="s">
        <v>132</v>
      </c>
      <c r="I77" s="127" t="s">
        <v>132</v>
      </c>
    </row>
    <row r="79" spans="8:9" ht="38.25" x14ac:dyDescent="0.2">
      <c r="H79" s="92" t="s">
        <v>133</v>
      </c>
      <c r="I79" s="133" t="s">
        <v>134</v>
      </c>
    </row>
    <row r="80" spans="8:9" ht="25.5" x14ac:dyDescent="0.2">
      <c r="I80" s="88" t="s">
        <v>135</v>
      </c>
    </row>
    <row r="82" spans="8:9" x14ac:dyDescent="0.2">
      <c r="H82" s="127" t="s">
        <v>138</v>
      </c>
      <c r="I82" s="127" t="s">
        <v>138</v>
      </c>
    </row>
    <row r="84" spans="8:9" ht="51" x14ac:dyDescent="0.2">
      <c r="H84" s="133" t="s">
        <v>136</v>
      </c>
      <c r="I84" s="133" t="s">
        <v>137</v>
      </c>
    </row>
    <row r="86" spans="8:9" x14ac:dyDescent="0.2">
      <c r="H86" s="134"/>
      <c r="I86" s="134"/>
    </row>
    <row r="87" spans="8:9" x14ac:dyDescent="0.2">
      <c r="H87" s="135" t="s">
        <v>139</v>
      </c>
      <c r="I87" s="127" t="s">
        <v>139</v>
      </c>
    </row>
    <row r="89" spans="8:9" ht="38.25" x14ac:dyDescent="0.2">
      <c r="H89" s="87" t="s">
        <v>140</v>
      </c>
      <c r="I89" s="92" t="s">
        <v>141</v>
      </c>
    </row>
  </sheetData>
  <phoneticPr fontId="2" type="noConversion"/>
  <pageMargins left="0.75" right="0.75" top="1" bottom="1" header="0" footer="0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340FC02982CF0439842622D5B1B403C" ma:contentTypeVersion="2" ma:contentTypeDescription="Crear nuevo documento." ma:contentTypeScope="" ma:versionID="cec0d054563759ac58adaa4ef4783226">
  <xsd:schema xmlns:xsd="http://www.w3.org/2001/XMLSchema" xmlns:p="http://schemas.microsoft.com/office/2006/metadata/properties" targetNamespace="http://schemas.microsoft.com/office/2006/metadata/properties" ma:root="true" ma:fieldsID="a842e179fd711325ceab02fb6457132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 ma:readOnly="tru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45B87FCB-1B27-4821-839E-C56746C7D77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F9CC690-89E1-40CF-9EA5-A54FB944D3D1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17EED51A-4B2A-4DBE-A4B1-79E852336E00}">
  <ds:schemaRefs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A8D07F63-CE7E-41A7-AC3B-3EF8118BE4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Metodología</vt:lpstr>
      <vt:lpstr>Apoyo</vt:lpstr>
      <vt:lpstr>Metodología!Área_de_impresión</vt:lpstr>
      <vt:lpstr>Metodología!Títulos_a_imprimir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Calidad</dc:title>
  <dc:creator>BICHO</dc:creator>
  <cp:lastModifiedBy>Alexander Cruz Briñez</cp:lastModifiedBy>
  <cp:lastPrinted>2016-04-27T16:34:52Z</cp:lastPrinted>
  <dcterms:created xsi:type="dcterms:W3CDTF">1999-08-17T16:11:28Z</dcterms:created>
  <dcterms:modified xsi:type="dcterms:W3CDTF">2022-03-29T14:18:26Z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Documento</vt:lpwstr>
  </property>
  <property fmtid="{D5CDD505-2E9C-101B-9397-08002B2CF9AE}" pid="3" name="ContentTypeId">
    <vt:lpwstr>0x010100D340FC02982CF0439842622D5B1B403C</vt:lpwstr>
  </property>
</Properties>
</file>